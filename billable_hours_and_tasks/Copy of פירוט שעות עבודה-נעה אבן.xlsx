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>
    <definedName name="ARRAYMULT">LAMBDA(ARRAYFORMULA(IF('גיליון1'!$E:$E&lt;&gt;"", 'גיליון1'!$E:$E * 180, "")))</definedName>
  </definedNames>
  <calcPr/>
</workbook>
</file>

<file path=xl/sharedStrings.xml><?xml version="1.0" encoding="utf-8"?>
<sst xmlns="http://schemas.openxmlformats.org/spreadsheetml/2006/main" count="43" uniqueCount="43">
  <si>
    <t>פירוט שעות עבודה-נעה אבן</t>
  </si>
  <si>
    <t>שולם/לא שולם</t>
  </si>
  <si>
    <t>משימות לטיפול</t>
  </si>
  <si>
    <t>הערות</t>
  </si>
  <si>
    <t>סכום</t>
  </si>
  <si>
    <t>מספר שעות</t>
  </si>
  <si>
    <t>תאריך</t>
  </si>
  <si>
    <t>פירוט</t>
  </si>
  <si>
    <t>להחזיר מודם של בזק</t>
  </si>
  <si>
    <t>מתברר שיש תשלום כפול על אינטרנט - בוטל, ועל קו טלפון (לא בוטל), משום שקו טלפון גם כלול בחבילה של הוט</t>
  </si>
  <si>
    <t>follow up כללית:
1. טופס 17 לביקור במיון - כללית לא שלחו טופס 17. הגשתי את הבקשה פעם נוספת.
2. וידאתי שאין חובות והוראת הקבע תקינה
עודכנה הוראת קבע למי אביבים</t>
  </si>
  <si>
    <t>טלפון לסוכנות לעובדים זרים + שיחת עדכון עם טל</t>
  </si>
  <si>
    <t>טלפון עם הסוכנות
מעבר על מיילים ותיוג על פי נושאים
מעבר על חשבון הבנק בבנק הפועלים</t>
  </si>
  <si>
    <t>התכתבות בנושא עובדת סיעודית
מעבר על כל הפעולות שבוצעו בכרטיסי אשראי ומשיכות בחודשים אוגוסט עד דצמבבר
השוואה בין ההוצאות וייצור דו״ח של פעולות
עדכון של כל המשימות לטיפול - החדשות והישנות</t>
  </si>
  <si>
    <t>טלפונים בנוגע להראל
העברת הוראות לאבא בנוגע לבנק לאומי</t>
  </si>
  <si>
    <t xml:space="preserve">טלפון עם אבא 
</t>
  </si>
  <si>
    <t>טל ביקשה להגיד לחברות ההשמה שאנחנו מעוניינים רק בעובד בעל ניסיון בארץ שניתן לדבר עם המעסיק הקודם שלוֿ
עדיף גבר, שיהיה מבוגר ולא צעיר.</t>
  </si>
  <si>
    <t>הגשת בקשה לקבלת היתר לעובד זר
שיחות עם בני וטל
בירור בנוגע לסוכנויות שמתווכות במציאת עובד זר וסיכום הדרישות עבור עובד זר</t>
  </si>
  <si>
    <t xml:space="preserve">טלפון עם בתאל מהמשרד של אהוד סוכן הביטוח
שליחה ומילוי מחדש של הטפסים למשרד של אהוד, על מנת שיגישו אותם
שיחה עם טל ועדכון על מצב התביעה וחיפוש עובד זר
</t>
  </si>
  <si>
    <t>תשלום חוב כללית, שליחת מייל לסוכן הביטוח בנוגע לתביעה שהוגשה על טיפול בדצמבר, שיחת טלפון של שעה עם תמר ממייג'ור</t>
  </si>
  <si>
    <t xml:space="preserve">המשך טיפול בנושא עובד זר
תיאום פגישה עם ג׳וסי + בדיקה בנוגע למסמכים/ אישורים הנדרשים
שיחה עם טל בנושא
מעבר על חשבון הבנק </t>
  </si>
  <si>
    <t>צריך לעדכן את טל שג׳וסי מעוניינת להתחיל לעבוד רק בעוד חודש</t>
  </si>
  <si>
    <t>התכתבות בנוגע לתביעת סיעוד</t>
  </si>
  <si>
    <t>שיחות עם טל בנוגע לראיונות למטפלת 
שיחה עם נעמי, אמא של אביה, בנוגע לג׳וסי.
בדיקה של הויזות השונות ובירור בנוגע למטפלים</t>
  </si>
  <si>
    <t xml:space="preserve">צריך להתקשר לאבא כדי לקבל ממנו קוד ולבצע העברה מהבינלאומי לפועלים
הזמנה של כרטיס אשראי לא דיירקט לאבא.
</t>
  </si>
  <si>
    <t xml:space="preserve">בדיקה בנוגע לויזה של ג׳וסי
שיחה עם תמר ממייג׳ור, בנוגע לקביעת ראיונות למטפלים
שיחות טלפון עם מטפלים וקביעת ראיונות (?) 
</t>
  </si>
  <si>
    <t xml:space="preserve">1. עודכנה הוראת הקבע של כללית + כללית מושלם להוראת קבע בבנק הפועלים
2. תזכורת לגבי טופס 17 על ביקור במיון - חשוב לזכור שכללית מפגרים וצריך לעשות follow  up  להכל
3. עודכנה הוראת קבע לכללית + כללית מושלם לאבא (הוראת קבע בבנק הפועלים) 
4. הועבר </t>
  </si>
  <si>
    <t xml:space="preserve">משימות:
1. לדבר עם אבא כדי לעדכן פרטים בחשבון לאומי ולבצע העברה של היתרה
</t>
  </si>
  <si>
    <t xml:space="preserve">פגישה מכתבים דואר הוראות קבע </t>
  </si>
  <si>
    <t>טלפון עם בנק הפועלים בנוגע לאבא
שיחה בטלפון עם בני על בנק הפועלים, כרטיס אשראי לא דיירקט לאבא, 
והחזר של 2000 שקל בהוראת קבע</t>
  </si>
  <si>
    <t xml:space="preserve">שיחת טלפון בנוגע לתביעה שהוגשה לביטוח </t>
  </si>
  <si>
    <t>טלפון בנוגע לחוב לבזק + תשלום החוב</t>
  </si>
  <si>
    <t>יש להתקשר לבזק 007488869
097654550</t>
  </si>
  <si>
    <t xml:space="preserve">הסדרת הוראת קבע לבזק </t>
  </si>
  <si>
    <t>צריך להחזיר את המודם של בזק</t>
  </si>
  <si>
    <t>מתברר שיש תשלום כפול על אינטרנט - בוטל, ועל קו טלפון (לא בוטל), משום שקו טלפון גם כלול בחבילת הוט.
עודכנה הוראת  קבע ועדכנתי פרטים כך שהחשבונית תתקבל במייל</t>
  </si>
  <si>
    <t>שיחת טלפון עם אהוד בנוגע לתשלום מיותר על ביטוח עובד זר
בירור בנוגע ל3 תשלומים מהראל (על סך 40,000 שקלים)</t>
  </si>
  <si>
    <t>פגישה</t>
  </si>
  <si>
    <t>טלפון על מסגרת אשראי</t>
  </si>
  <si>
    <t>טלפונים עם קרנות השוטרים
טלפונים בנוגע לביטוח קרנות השוטרים
תיוק מסמכים
תשלום חשבון + חוב למי אביבים
צירוף להוראת קבע מי אביבים (בני)</t>
  </si>
  <si>
    <t>טלפונים והודעות לסוכנות למייג'ור</t>
  </si>
  <si>
    <t xml:space="preserve">3 שיחות טלפון לסוכנות יד חרוצים </t>
  </si>
  <si>
    <t>שולם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</si>
</sst>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9">
    <font>
      <sz val="10.0"/>
      <color rgb="FF000000"/>
      <name val="Arial"/>
      <scheme val="minor"/>
    </font>
    <font>
      <b/>
      <u/>
      <sz val="15.0"/>
      <color theme="1"/>
      <name val="Arial"/>
      <scheme val="minor"/>
    </font>
    <font>
      <b/>
      <u/>
      <sz val="15.0"/>
      <color theme="1"/>
      <name val="Arial"/>
      <scheme val="minor"/>
    </font>
    <font>
      <b/>
      <u/>
      <sz val="15.0"/>
      <color theme="1"/>
      <name val="Arial"/>
      <scheme val="minor"/>
    </font>
    <font/>
    <font>
      <color theme="1"/>
      <name val="Arial"/>
      <scheme val="minor"/>
    </font>
    <font>
      <sz val="11.0"/>
      <color rgb="FF000000"/>
      <name val="Arial"/>
    </font>
    <font>
      <b/>
      <u/>
      <sz val="10.0"/>
      <color rgb="FF000000"/>
      <name val="Arial"/>
      <scheme val="minor"/>
    </font>
    <font>
      <b/>
      <u/>
      <sz val="10.0"/>
      <color rgb="FF000000"/>
      <name val="Arial"/>
      <scheme val="minor"/>
    </font>
    <font>
      <b/>
      <u/>
      <sz val="14.0"/>
      <color rgb="FFFFFFFF"/>
      <name val="Arial"/>
      <scheme val="minor"/>
    </font>
    <font>
      <b/>
      <u/>
      <sz val="14.0"/>
      <color rgb="FFFFFFFF"/>
      <name val="Arial"/>
      <scheme val="minor"/>
    </font>
    <font>
      <b/>
      <u/>
      <sz val="14.0"/>
      <color rgb="FFFFFFFF"/>
      <name val="Arial"/>
      <scheme val="minor"/>
    </font>
    <font>
      <b/>
      <u/>
      <sz val="14.0"/>
      <color rgb="FFFFFFFF"/>
      <name val="Arial"/>
      <scheme val="minor"/>
    </font>
    <font>
      <b/>
      <u/>
      <sz val="10.0"/>
      <color rgb="FF000000"/>
      <name val="Arial"/>
      <scheme val="minor"/>
    </font>
    <font>
      <b/>
      <u/>
      <sz val="14.0"/>
      <color rgb="FFFFFFFF"/>
      <name val="Arial"/>
      <scheme val="minor"/>
    </font>
    <font>
      <b/>
      <u/>
      <sz val="14.0"/>
      <color rgb="FFFFFFFF"/>
      <name val="Arial"/>
      <scheme val="minor"/>
    </font>
    <font>
      <b/>
      <u/>
      <sz val="14.0"/>
      <color rgb="FFFFFFFF"/>
      <name val="Arial"/>
      <scheme val="minor"/>
    </font>
    <font>
      <sz val="10.0"/>
      <color rgb="FFFFFFFF"/>
      <name val="Arial"/>
      <scheme val="minor"/>
    </font>
    <font>
      <b/>
      <u/>
      <sz val="14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1C4587"/>
        <bgColor rgb="FF1C4587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</fills>
  <borders count="1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FFFFFF"/>
      </bottom>
    </border>
    <border>
      <right style="thin">
        <color rgb="FF000000"/>
      </right>
      <bottom style="medium">
        <color rgb="FFFFFFFF"/>
      </bottom>
    </border>
    <border>
      <left style="thin">
        <color rgb="FF000000"/>
      </left>
      <right style="thin">
        <color rgb="FF000000"/>
      </right>
      <bottom style="medium">
        <color rgb="FFFFFFFF"/>
      </bottom>
    </border>
    <border>
      <left style="thin">
        <color rgb="FF000000"/>
      </left>
      <right style="medium">
        <color rgb="FF000000"/>
      </right>
      <bottom style="medium">
        <color rgb="FFFFFFFF"/>
      </bottom>
    </border>
    <border>
      <left style="medium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0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1" fillId="2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4" fillId="3" fontId="5" numFmtId="0" xfId="0" applyBorder="1" applyFill="1" applyFont="1"/>
    <xf borderId="0" fillId="0" fontId="6" numFmtId="0" xfId="0" applyAlignment="1" applyFont="1">
      <alignment horizontal="right" readingOrder="0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6" numFmtId="0" xfId="0" applyAlignment="1" applyFont="1">
      <alignment horizontal="right" readingOrder="0"/>
    </xf>
    <xf borderId="9" fillId="4" fontId="7" numFmtId="0" xfId="0" applyAlignment="1" applyBorder="1" applyFill="1" applyFont="1">
      <alignment horizontal="center" readingOrder="0"/>
    </xf>
    <xf borderId="10" fillId="4" fontId="8" numFmtId="0" xfId="0" applyAlignment="1" applyBorder="1" applyFont="1">
      <alignment horizontal="center" readingOrder="0"/>
    </xf>
    <xf borderId="10" fillId="4" fontId="0" numFmtId="0" xfId="0" applyAlignment="1" applyBorder="1" applyFont="1">
      <alignment horizontal="center" readingOrder="0" shrinkToFit="0" wrapText="1"/>
    </xf>
    <xf borderId="11" fillId="5" fontId="9" numFmtId="0" xfId="0" applyAlignment="1" applyBorder="1" applyFill="1" applyFont="1">
      <alignment horizontal="center" readingOrder="0"/>
    </xf>
    <xf borderId="11" fillId="4" fontId="10" numFmtId="0" xfId="0" applyAlignment="1" applyBorder="1" applyFont="1">
      <alignment horizontal="center" readingOrder="0"/>
    </xf>
    <xf borderId="12" fillId="4" fontId="11" numFmtId="0" xfId="0" applyAlignment="1" applyBorder="1" applyFont="1">
      <alignment horizontal="center" readingOrder="0" shrinkToFit="0" wrapText="1"/>
    </xf>
    <xf borderId="13" fillId="4" fontId="12" numFmtId="0" xfId="0" applyAlignment="1" applyBorder="1" applyFont="1">
      <alignment horizontal="center" readingOrder="0"/>
    </xf>
    <xf borderId="0" fillId="4" fontId="13" numFmtId="0" xfId="0" applyAlignment="1" applyFont="1">
      <alignment horizontal="center" readingOrder="0" vertical="top"/>
    </xf>
    <xf borderId="0" fillId="4" fontId="0" numFmtId="0" xfId="0" applyAlignment="1" applyFont="1">
      <alignment horizontal="center" readingOrder="0" shrinkToFit="0" wrapText="1"/>
    </xf>
    <xf borderId="0" fillId="5" fontId="6" numFmtId="0" xfId="0" applyAlignment="1" applyFont="1">
      <alignment horizontal="center" readingOrder="0"/>
    </xf>
    <xf borderId="0" fillId="4" fontId="5" numFmtId="0" xfId="0" applyAlignment="1" applyFont="1">
      <alignment readingOrder="0"/>
    </xf>
    <xf borderId="0" fillId="5" fontId="5" numFmtId="164" xfId="0" applyAlignment="1" applyFont="1" applyNumberFormat="1">
      <alignment readingOrder="0"/>
    </xf>
    <xf borderId="5" fillId="4" fontId="5" numFmtId="0" xfId="0" applyAlignment="1" applyBorder="1" applyFont="1">
      <alignment readingOrder="0" shrinkToFit="0" wrapText="1"/>
    </xf>
    <xf borderId="13" fillId="4" fontId="14" numFmtId="0" xfId="0" applyAlignment="1" applyBorder="1" applyFont="1">
      <alignment horizontal="center" readingOrder="0" vertical="top"/>
    </xf>
    <xf borderId="0" fillId="4" fontId="15" numFmtId="0" xfId="0" applyAlignment="1" applyFont="1">
      <alignment horizontal="center" readingOrder="0" vertical="top"/>
    </xf>
    <xf borderId="0" fillId="4" fontId="0" numFmtId="0" xfId="0" applyAlignment="1" applyFont="1">
      <alignment horizontal="center" readingOrder="0" shrinkToFit="0" vertical="top" wrapText="1"/>
    </xf>
    <xf borderId="0" fillId="5" fontId="6" numFmtId="0" xfId="0" applyAlignment="1" applyFont="1">
      <alignment horizontal="center" readingOrder="0" vertical="top"/>
    </xf>
    <xf borderId="0" fillId="4" fontId="5" numFmtId="0" xfId="0" applyAlignment="1" applyFont="1">
      <alignment readingOrder="0" vertical="top"/>
    </xf>
    <xf borderId="0" fillId="5" fontId="5" numFmtId="164" xfId="0" applyAlignment="1" applyFont="1" applyNumberFormat="1">
      <alignment readingOrder="0" vertical="top"/>
    </xf>
    <xf borderId="5" fillId="4" fontId="5" numFmtId="0" xfId="0" applyAlignment="1" applyBorder="1" applyFont="1">
      <alignment horizontal="right" readingOrder="2" shrinkToFit="0" wrapText="1"/>
    </xf>
    <xf borderId="0" fillId="4" fontId="16" numFmtId="0" xfId="0" applyAlignment="1" applyFont="1">
      <alignment horizontal="center" readingOrder="0"/>
    </xf>
    <xf borderId="0" fillId="4" fontId="0" numFmtId="0" xfId="0" applyAlignment="1" applyFont="1">
      <alignment horizontal="center" readingOrder="0" shrinkToFit="0" wrapText="1"/>
    </xf>
    <xf borderId="0" fillId="5" fontId="5" numFmtId="165" xfId="0" applyAlignment="1" applyFont="1" applyNumberFormat="1">
      <alignment readingOrder="0"/>
    </xf>
    <xf borderId="13" fillId="4" fontId="17" numFmtId="0" xfId="0" applyAlignment="1" applyBorder="1" applyFont="1">
      <alignment horizontal="center" readingOrder="0" shrinkToFit="0" vertical="top" wrapText="1"/>
    </xf>
    <xf borderId="0" fillId="4" fontId="17" numFmtId="0" xfId="0" applyAlignment="1" applyFont="1">
      <alignment horizontal="center" readingOrder="0" shrinkToFit="0" vertical="top" wrapText="1"/>
    </xf>
    <xf borderId="5" fillId="4" fontId="5" numFmtId="0" xfId="0" applyAlignment="1" applyBorder="1" applyFont="1">
      <alignment readingOrder="0" shrinkToFit="0" wrapText="1"/>
    </xf>
    <xf borderId="13" fillId="4" fontId="18" numFmtId="0" xfId="0" applyAlignment="1" applyBorder="1" applyFont="1">
      <alignment horizontal="center" readingOrder="0"/>
    </xf>
    <xf borderId="0" fillId="0" fontId="0" numFmtId="0" xfId="0" applyAlignment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38"/>
    <col customWidth="1" min="3" max="3" width="33.13"/>
    <col customWidth="1" min="7" max="7" width="43.0"/>
  </cols>
  <sheetData>
    <row r="1">
      <c r="A1" s="1"/>
      <c r="B1" s="1"/>
      <c r="C1" s="2"/>
      <c r="D1" s="1"/>
      <c r="E1" s="1"/>
      <c r="F1" s="1"/>
      <c r="G1" s="3"/>
    </row>
    <row r="2">
      <c r="A2" s="4" t="s">
        <v>0</v>
      </c>
      <c r="B2" s="5"/>
      <c r="C2" s="5"/>
      <c r="D2" s="5"/>
      <c r="E2" s="5"/>
      <c r="F2" s="5"/>
      <c r="G2" s="6"/>
    </row>
    <row r="3">
      <c r="A3" s="7"/>
      <c r="G3" s="8"/>
    </row>
    <row r="4">
      <c r="A4" s="7"/>
      <c r="G4" s="8"/>
    </row>
    <row r="5">
      <c r="A5" s="7"/>
      <c r="G5" s="8"/>
    </row>
    <row r="6">
      <c r="A6" s="9"/>
      <c r="G6" s="8"/>
    </row>
    <row r="7">
      <c r="A7" s="7"/>
      <c r="G7" s="8"/>
      <c r="M7" s="10"/>
    </row>
    <row r="8">
      <c r="A8" s="11"/>
      <c r="B8" s="12"/>
      <c r="C8" s="12"/>
      <c r="D8" s="12"/>
      <c r="E8" s="12"/>
      <c r="F8" s="12"/>
      <c r="G8" s="13"/>
      <c r="M8" s="14"/>
    </row>
    <row r="9" ht="20.25" customHeight="1">
      <c r="A9" s="15" t="s">
        <v>1</v>
      </c>
      <c r="B9" s="16" t="s">
        <v>2</v>
      </c>
      <c r="C9" s="17" t="s">
        <v>3</v>
      </c>
      <c r="D9" s="18" t="s">
        <v>4</v>
      </c>
      <c r="E9" s="19" t="s">
        <v>5</v>
      </c>
      <c r="F9" s="18" t="s">
        <v>6</v>
      </c>
      <c r="G9" s="20" t="s">
        <v>7</v>
      </c>
      <c r="M9" s="10"/>
    </row>
    <row r="10">
      <c r="A10" s="21"/>
      <c r="B10" s="22" t="s">
        <v>8</v>
      </c>
      <c r="C10" s="23" t="s">
        <v>9</v>
      </c>
      <c r="D10" s="24"/>
      <c r="E10" s="25"/>
      <c r="F10" s="26"/>
      <c r="G10" s="27"/>
      <c r="M10" s="10"/>
    </row>
    <row r="11">
      <c r="A11" s="28"/>
      <c r="B11" s="29"/>
      <c r="C11" s="30"/>
      <c r="D11" s="31">
        <f t="shared" ref="D11:D36" si="1">PRODUCT(180,E11)</f>
        <v>180</v>
      </c>
      <c r="E11" s="32">
        <v>1.0</v>
      </c>
      <c r="F11" s="33">
        <f>F62+6</f>
        <v>46012</v>
      </c>
      <c r="G11" s="34" t="s">
        <v>10</v>
      </c>
      <c r="M11" s="10"/>
    </row>
    <row r="12">
      <c r="A12" s="21"/>
      <c r="B12" s="35"/>
      <c r="C12" s="36"/>
      <c r="D12" s="24">
        <f t="shared" si="1"/>
        <v>180</v>
      </c>
      <c r="E12" s="25">
        <v>1.0</v>
      </c>
      <c r="F12" s="26">
        <f>F11+3</f>
        <v>46015</v>
      </c>
      <c r="G12" s="27" t="s">
        <v>11</v>
      </c>
      <c r="M12" s="10"/>
    </row>
    <row r="13">
      <c r="A13" s="21"/>
      <c r="B13" s="35"/>
      <c r="C13" s="36"/>
      <c r="D13" s="24">
        <f t="shared" si="1"/>
        <v>360</v>
      </c>
      <c r="E13" s="25">
        <v>2.0</v>
      </c>
      <c r="F13" s="26">
        <f>F12 +1 </f>
        <v>46016</v>
      </c>
      <c r="G13" s="27" t="s">
        <v>12</v>
      </c>
      <c r="M13" s="10"/>
    </row>
    <row r="14">
      <c r="A14" s="21"/>
      <c r="B14" s="35"/>
      <c r="C14" s="36"/>
      <c r="D14" s="24">
        <f t="shared" si="1"/>
        <v>720</v>
      </c>
      <c r="E14" s="25">
        <v>4.0</v>
      </c>
      <c r="F14" s="26">
        <f>F13+3</f>
        <v>46019</v>
      </c>
      <c r="G14" s="27" t="s">
        <v>13</v>
      </c>
      <c r="M14" s="10"/>
    </row>
    <row r="15">
      <c r="A15" s="21"/>
      <c r="B15" s="35"/>
      <c r="C15" s="36"/>
      <c r="D15" s="24">
        <f t="shared" si="1"/>
        <v>0</v>
      </c>
      <c r="E15" s="25">
        <v>0.0</v>
      </c>
      <c r="F15" s="26"/>
      <c r="G15" s="27"/>
      <c r="M15" s="10"/>
    </row>
    <row r="16">
      <c r="A16" s="21"/>
      <c r="B16" s="35"/>
      <c r="C16" s="36"/>
      <c r="D16" s="24">
        <f t="shared" si="1"/>
        <v>0</v>
      </c>
      <c r="E16" s="25">
        <v>0.0</v>
      </c>
      <c r="F16" s="26"/>
      <c r="G16" s="27"/>
      <c r="M16" s="10"/>
    </row>
    <row r="17">
      <c r="A17" s="21"/>
      <c r="B17" s="35"/>
      <c r="C17" s="36"/>
      <c r="D17" s="24">
        <f t="shared" si="1"/>
        <v>0</v>
      </c>
      <c r="E17" s="25">
        <v>0.0</v>
      </c>
      <c r="F17" s="26"/>
      <c r="G17" s="27"/>
      <c r="M17" s="10"/>
    </row>
    <row r="18">
      <c r="A18" s="21"/>
      <c r="B18" s="35"/>
      <c r="C18" s="36"/>
      <c r="D18" s="24">
        <f t="shared" si="1"/>
        <v>0</v>
      </c>
      <c r="E18" s="25">
        <v>0.0</v>
      </c>
      <c r="F18" s="26"/>
      <c r="G18" s="27"/>
      <c r="M18" s="10"/>
    </row>
    <row r="19">
      <c r="A19" s="21"/>
      <c r="B19" s="35"/>
      <c r="C19" s="36"/>
      <c r="D19" s="24">
        <f t="shared" si="1"/>
        <v>0</v>
      </c>
      <c r="E19" s="25">
        <v>0.0</v>
      </c>
      <c r="F19" s="26"/>
      <c r="G19" s="27"/>
      <c r="M19" s="10"/>
    </row>
    <row r="20">
      <c r="A20" s="21"/>
      <c r="B20" s="35"/>
      <c r="C20" s="36"/>
      <c r="D20" s="24">
        <f t="shared" si="1"/>
        <v>0</v>
      </c>
      <c r="E20" s="25">
        <v>0.0</v>
      </c>
      <c r="F20" s="26"/>
      <c r="G20" s="27"/>
      <c r="M20" s="10"/>
    </row>
    <row r="21">
      <c r="A21" s="21"/>
      <c r="B21" s="35"/>
      <c r="C21" s="36"/>
      <c r="D21" s="24">
        <f t="shared" si="1"/>
        <v>0</v>
      </c>
      <c r="E21" s="25">
        <v>0.0</v>
      </c>
      <c r="F21" s="26"/>
      <c r="G21" s="27"/>
      <c r="M21" s="10"/>
    </row>
    <row r="22">
      <c r="A22" s="21"/>
      <c r="B22" s="35"/>
      <c r="C22" s="36"/>
      <c r="D22" s="24">
        <f t="shared" si="1"/>
        <v>0</v>
      </c>
      <c r="E22" s="25">
        <v>0.0</v>
      </c>
      <c r="F22" s="26"/>
      <c r="G22" s="27"/>
      <c r="M22" s="10"/>
    </row>
    <row r="23">
      <c r="A23" s="21"/>
      <c r="B23" s="35"/>
      <c r="C23" s="36"/>
      <c r="D23" s="24">
        <f t="shared" si="1"/>
        <v>0</v>
      </c>
      <c r="E23" s="25">
        <v>0.0</v>
      </c>
      <c r="F23" s="26"/>
      <c r="G23" s="27"/>
      <c r="M23" s="10"/>
    </row>
    <row r="24">
      <c r="A24" s="21"/>
      <c r="B24" s="35"/>
      <c r="C24" s="36"/>
      <c r="D24" s="24">
        <f t="shared" si="1"/>
        <v>0</v>
      </c>
      <c r="E24" s="25">
        <v>0.0</v>
      </c>
      <c r="F24" s="26"/>
      <c r="G24" s="27"/>
      <c r="M24" s="10"/>
    </row>
    <row r="25">
      <c r="A25" s="21"/>
      <c r="B25" s="35"/>
      <c r="C25" s="36"/>
      <c r="D25" s="24">
        <f t="shared" si="1"/>
        <v>0</v>
      </c>
      <c r="E25" s="25">
        <v>0.0</v>
      </c>
      <c r="F25" s="26"/>
      <c r="G25" s="27"/>
      <c r="M25" s="10"/>
    </row>
    <row r="26">
      <c r="A26" s="21"/>
      <c r="B26" s="35"/>
      <c r="C26" s="36"/>
      <c r="D26" s="24">
        <f t="shared" si="1"/>
        <v>0</v>
      </c>
      <c r="E26" s="25">
        <v>0.0</v>
      </c>
      <c r="F26" s="26"/>
      <c r="G26" s="27"/>
      <c r="M26" s="10"/>
    </row>
    <row r="27">
      <c r="A27" s="21"/>
      <c r="B27" s="35"/>
      <c r="C27" s="36"/>
      <c r="D27" s="24">
        <f t="shared" si="1"/>
        <v>0</v>
      </c>
      <c r="E27" s="25">
        <v>0.0</v>
      </c>
      <c r="F27" s="26"/>
      <c r="G27" s="27"/>
      <c r="M27" s="10"/>
    </row>
    <row r="28">
      <c r="A28" s="21"/>
      <c r="B28" s="35"/>
      <c r="C28" s="36"/>
      <c r="D28" s="24">
        <f t="shared" si="1"/>
        <v>0</v>
      </c>
      <c r="E28" s="25">
        <v>0.0</v>
      </c>
      <c r="F28" s="26"/>
      <c r="G28" s="27"/>
      <c r="M28" s="10"/>
    </row>
    <row r="29">
      <c r="A29" s="21"/>
      <c r="B29" s="35"/>
      <c r="C29" s="36"/>
      <c r="D29" s="24">
        <f t="shared" si="1"/>
        <v>0</v>
      </c>
      <c r="E29" s="25">
        <v>0.0</v>
      </c>
      <c r="F29" s="26"/>
      <c r="G29" s="27"/>
      <c r="M29" s="10"/>
    </row>
    <row r="30">
      <c r="A30" s="21"/>
      <c r="B30" s="35"/>
      <c r="C30" s="36"/>
      <c r="D30" s="24">
        <f t="shared" si="1"/>
        <v>0</v>
      </c>
      <c r="E30" s="25">
        <v>0.0</v>
      </c>
      <c r="F30" s="26"/>
      <c r="G30" s="27"/>
      <c r="M30" s="10"/>
    </row>
    <row r="31">
      <c r="A31" s="21"/>
      <c r="B31" s="35"/>
      <c r="C31" s="36"/>
      <c r="D31" s="24">
        <f t="shared" si="1"/>
        <v>0</v>
      </c>
      <c r="E31" s="25">
        <v>0.0</v>
      </c>
      <c r="F31" s="26"/>
      <c r="G31" s="27"/>
      <c r="M31" s="10"/>
    </row>
    <row r="32">
      <c r="A32" s="21"/>
      <c r="B32" s="35"/>
      <c r="C32" s="36"/>
      <c r="D32" s="24">
        <f t="shared" si="1"/>
        <v>0</v>
      </c>
      <c r="E32" s="25">
        <v>0.0</v>
      </c>
      <c r="F32" s="26"/>
      <c r="G32" s="27"/>
      <c r="M32" s="10"/>
    </row>
    <row r="33">
      <c r="A33" s="21"/>
      <c r="B33" s="35"/>
      <c r="C33" s="36"/>
      <c r="D33" s="24">
        <f t="shared" si="1"/>
        <v>0</v>
      </c>
      <c r="E33" s="25">
        <v>0.0</v>
      </c>
      <c r="F33" s="26"/>
      <c r="G33" s="27"/>
      <c r="M33" s="10"/>
    </row>
    <row r="34">
      <c r="A34" s="21"/>
      <c r="B34" s="35"/>
      <c r="C34" s="36"/>
      <c r="D34" s="24">
        <f t="shared" si="1"/>
        <v>0</v>
      </c>
      <c r="E34" s="25">
        <v>0.0</v>
      </c>
      <c r="F34" s="26"/>
      <c r="G34" s="27"/>
      <c r="M34" s="10"/>
    </row>
    <row r="35">
      <c r="A35" s="21"/>
      <c r="B35" s="35"/>
      <c r="C35" s="36"/>
      <c r="D35" s="24">
        <f t="shared" si="1"/>
        <v>0</v>
      </c>
      <c r="E35" s="25">
        <v>0.0</v>
      </c>
      <c r="F35" s="26"/>
      <c r="G35" s="27"/>
      <c r="M35" s="10"/>
    </row>
    <row r="36">
      <c r="A36" s="21"/>
      <c r="B36" s="35"/>
      <c r="C36" s="36"/>
      <c r="D36" s="24">
        <f t="shared" si="1"/>
        <v>0</v>
      </c>
      <c r="E36" s="25">
        <v>0.0</v>
      </c>
      <c r="F36" s="26"/>
      <c r="G36" s="27"/>
      <c r="M36" s="10"/>
    </row>
    <row r="37">
      <c r="A37" s="21"/>
      <c r="B37" s="35"/>
      <c r="C37" s="36"/>
      <c r="D37" s="24"/>
      <c r="E37" s="25"/>
      <c r="F37" s="26"/>
      <c r="G37" s="27"/>
      <c r="M37" s="10"/>
    </row>
    <row r="38">
      <c r="A38" s="21"/>
      <c r="B38" s="35"/>
      <c r="C38" s="36"/>
      <c r="D38" s="24">
        <f>SUM(D11:D37)</f>
        <v>1440</v>
      </c>
      <c r="E38" s="25">
        <f>SUM(E10:E37)</f>
        <v>8</v>
      </c>
      <c r="F38" s="26"/>
      <c r="G38" s="27"/>
      <c r="M38" s="10"/>
    </row>
    <row r="39">
      <c r="A39" s="9"/>
      <c r="G39" s="8"/>
      <c r="M39" s="10"/>
    </row>
    <row r="40">
      <c r="A40" s="7"/>
      <c r="G40" s="8"/>
      <c r="M40" s="10"/>
    </row>
    <row r="41">
      <c r="A41" s="11"/>
      <c r="B41" s="12"/>
      <c r="C41" s="12"/>
      <c r="D41" s="12"/>
      <c r="E41" s="12"/>
      <c r="F41" s="12"/>
      <c r="G41" s="13"/>
      <c r="M41" s="10"/>
    </row>
    <row r="42">
      <c r="A42" s="21"/>
      <c r="B42" s="35"/>
      <c r="C42" s="36"/>
      <c r="D42" s="24">
        <f t="shared" ref="D42:D56" si="2">PRODUCT(180,E42)</f>
        <v>135</v>
      </c>
      <c r="E42" s="25">
        <v>0.75</v>
      </c>
      <c r="F42" s="26">
        <v>45967.0</v>
      </c>
      <c r="G42" s="27" t="s">
        <v>14</v>
      </c>
      <c r="M42" s="10"/>
    </row>
    <row r="43">
      <c r="A43" s="21"/>
      <c r="B43" s="35"/>
      <c r="C43" s="36"/>
      <c r="D43" s="24">
        <f t="shared" si="2"/>
        <v>45</v>
      </c>
      <c r="E43" s="25">
        <v>0.25</v>
      </c>
      <c r="F43" s="26">
        <f t="shared" ref="F43:F44" si="3">F42 +1 </f>
        <v>45968</v>
      </c>
      <c r="G43" s="27" t="s">
        <v>15</v>
      </c>
      <c r="M43" s="10"/>
    </row>
    <row r="44">
      <c r="A44" s="21"/>
      <c r="B44" s="35"/>
      <c r="C44" s="23" t="s">
        <v>16</v>
      </c>
      <c r="D44" s="24">
        <f t="shared" si="2"/>
        <v>360</v>
      </c>
      <c r="E44" s="25">
        <v>2.0</v>
      </c>
      <c r="F44" s="26">
        <f t="shared" si="3"/>
        <v>45969</v>
      </c>
      <c r="G44" s="27" t="s">
        <v>17</v>
      </c>
      <c r="M44" s="10"/>
    </row>
    <row r="45">
      <c r="A45" s="21"/>
      <c r="B45" s="35"/>
      <c r="C45" s="36"/>
      <c r="D45" s="24">
        <f t="shared" si="2"/>
        <v>360</v>
      </c>
      <c r="E45" s="25">
        <v>2.0</v>
      </c>
      <c r="F45" s="37">
        <v>45972.0</v>
      </c>
      <c r="G45" s="27" t="s">
        <v>18</v>
      </c>
      <c r="M45" s="10"/>
    </row>
    <row r="46">
      <c r="A46" s="21"/>
      <c r="B46" s="35"/>
      <c r="C46" s="36"/>
      <c r="D46" s="24">
        <f t="shared" si="2"/>
        <v>360</v>
      </c>
      <c r="E46" s="25">
        <v>2.0</v>
      </c>
      <c r="F46" s="26">
        <v>45974.0</v>
      </c>
      <c r="G46" s="27" t="s">
        <v>19</v>
      </c>
      <c r="M46" s="10"/>
    </row>
    <row r="47">
      <c r="A47" s="21"/>
      <c r="B47" s="35"/>
      <c r="C47" s="36"/>
      <c r="D47" s="24">
        <f t="shared" si="2"/>
        <v>360</v>
      </c>
      <c r="E47" s="25">
        <v>2.0</v>
      </c>
      <c r="F47" s="26">
        <f>F46+3</f>
        <v>45977</v>
      </c>
      <c r="G47" s="27" t="s">
        <v>20</v>
      </c>
      <c r="M47" s="10"/>
    </row>
    <row r="48">
      <c r="A48" s="21"/>
      <c r="B48" s="35"/>
      <c r="C48" s="23" t="s">
        <v>21</v>
      </c>
      <c r="D48" s="24">
        <f t="shared" si="2"/>
        <v>45</v>
      </c>
      <c r="E48" s="25">
        <v>0.25</v>
      </c>
      <c r="F48" s="26">
        <f>F47 +1 </f>
        <v>45978</v>
      </c>
      <c r="G48" s="27" t="s">
        <v>22</v>
      </c>
      <c r="M48" s="10"/>
    </row>
    <row r="49">
      <c r="A49" s="21"/>
      <c r="B49" s="35"/>
      <c r="C49" s="23"/>
      <c r="D49" s="24">
        <f t="shared" si="2"/>
        <v>270</v>
      </c>
      <c r="E49" s="25">
        <v>1.5</v>
      </c>
      <c r="F49" s="26">
        <f>F48+3</f>
        <v>45981</v>
      </c>
      <c r="G49" s="27" t="s">
        <v>23</v>
      </c>
      <c r="M49" s="10"/>
    </row>
    <row r="50">
      <c r="A50" s="21"/>
      <c r="B50" s="35"/>
      <c r="C50" s="23" t="s">
        <v>24</v>
      </c>
      <c r="D50" s="24">
        <f t="shared" si="2"/>
        <v>180</v>
      </c>
      <c r="E50" s="25">
        <v>1.0</v>
      </c>
      <c r="F50" s="26">
        <f>F48+6</f>
        <v>45984</v>
      </c>
      <c r="G50" s="27" t="s">
        <v>25</v>
      </c>
      <c r="M50" s="10"/>
    </row>
    <row r="51">
      <c r="A51" s="38" t="s">
        <v>26</v>
      </c>
      <c r="B51" s="39"/>
      <c r="C51" s="23" t="s">
        <v>27</v>
      </c>
      <c r="D51" s="24">
        <f t="shared" si="2"/>
        <v>630</v>
      </c>
      <c r="E51" s="25">
        <v>3.5</v>
      </c>
      <c r="F51" s="26">
        <f>F50 + 2</f>
        <v>45986</v>
      </c>
      <c r="G51" s="27" t="s">
        <v>28</v>
      </c>
      <c r="M51" s="10"/>
    </row>
    <row r="52">
      <c r="A52" s="21"/>
      <c r="B52" s="35"/>
      <c r="C52" s="36"/>
      <c r="D52" s="24">
        <f t="shared" si="2"/>
        <v>180</v>
      </c>
      <c r="E52" s="25">
        <v>1.0</v>
      </c>
      <c r="F52" s="26">
        <f>F51 +1 </f>
        <v>45987</v>
      </c>
      <c r="G52" s="27" t="s">
        <v>29</v>
      </c>
      <c r="M52" s="10"/>
    </row>
    <row r="53">
      <c r="A53" s="21"/>
      <c r="B53" s="35"/>
      <c r="C53" s="36"/>
      <c r="D53" s="24">
        <f t="shared" si="2"/>
        <v>45</v>
      </c>
      <c r="E53" s="25">
        <v>0.25</v>
      </c>
      <c r="F53" s="26">
        <v>45988.0</v>
      </c>
      <c r="G53" s="27" t="s">
        <v>30</v>
      </c>
      <c r="M53" s="10"/>
    </row>
    <row r="54">
      <c r="A54" s="21"/>
      <c r="B54" s="35"/>
      <c r="C54" s="36"/>
      <c r="D54" s="24">
        <f t="shared" si="2"/>
        <v>90</v>
      </c>
      <c r="E54" s="25">
        <v>0.5</v>
      </c>
      <c r="F54" s="26">
        <v>45989.0</v>
      </c>
      <c r="G54" s="27" t="s">
        <v>31</v>
      </c>
      <c r="M54" s="10"/>
    </row>
    <row r="55">
      <c r="A55" s="21"/>
      <c r="B55" s="35"/>
      <c r="C55" s="23" t="s">
        <v>32</v>
      </c>
      <c r="D55" s="24">
        <f t="shared" si="2"/>
        <v>135</v>
      </c>
      <c r="E55" s="25">
        <v>0.75</v>
      </c>
      <c r="F55" s="26">
        <f>F54 + 2</f>
        <v>45991</v>
      </c>
      <c r="G55" s="27" t="s">
        <v>33</v>
      </c>
      <c r="M55" s="10"/>
    </row>
    <row r="56">
      <c r="A56" s="21" t="s">
        <v>34</v>
      </c>
      <c r="B56" s="35"/>
      <c r="C56" s="23" t="s">
        <v>35</v>
      </c>
      <c r="D56" s="24">
        <f t="shared" si="2"/>
        <v>270</v>
      </c>
      <c r="E56" s="25">
        <v>1.5</v>
      </c>
      <c r="F56" s="26">
        <f>F55 +1 </f>
        <v>45992</v>
      </c>
      <c r="G56" s="27" t="s">
        <v>36</v>
      </c>
      <c r="M56" s="10"/>
    </row>
    <row r="57">
      <c r="A57" s="21"/>
      <c r="B57" s="35"/>
      <c r="C57" s="23"/>
      <c r="D57" s="24">
        <f>PRODUCT(180,E57)</f>
        <v>450</v>
      </c>
      <c r="E57" s="25">
        <v>2.5</v>
      </c>
      <c r="F57" s="26">
        <v>45994.0</v>
      </c>
      <c r="G57" s="40" t="s">
        <v>37</v>
      </c>
      <c r="M57" s="10"/>
    </row>
    <row r="58">
      <c r="A58" s="21"/>
      <c r="B58" s="35"/>
      <c r="C58" s="36"/>
      <c r="D58" s="24">
        <f t="shared" ref="D58:D62" si="4">PRODUCT(180,E58)</f>
        <v>45</v>
      </c>
      <c r="E58" s="25">
        <v>0.25</v>
      </c>
      <c r="F58" s="26">
        <v>45996.0</v>
      </c>
      <c r="G58" s="40" t="s">
        <v>38</v>
      </c>
      <c r="M58" s="10"/>
    </row>
    <row r="59">
      <c r="A59" s="21"/>
      <c r="B59" s="35"/>
      <c r="C59" s="36"/>
      <c r="D59" s="24">
        <f t="shared" si="4"/>
        <v>450</v>
      </c>
      <c r="E59" s="25">
        <v>2.5</v>
      </c>
      <c r="F59" s="26">
        <f>4+F58</f>
        <v>46000</v>
      </c>
      <c r="G59" s="27" t="s">
        <v>39</v>
      </c>
      <c r="M59" s="10"/>
    </row>
    <row r="60">
      <c r="A60" s="21"/>
      <c r="B60" s="35"/>
      <c r="C60" s="36"/>
      <c r="D60" s="24">
        <f t="shared" si="4"/>
        <v>90</v>
      </c>
      <c r="E60" s="25">
        <v>0.5</v>
      </c>
      <c r="F60" s="26">
        <v>46002.0</v>
      </c>
      <c r="G60" s="40"/>
      <c r="M60" s="10"/>
    </row>
    <row r="61">
      <c r="A61" s="21"/>
      <c r="B61" s="35"/>
      <c r="C61" s="36"/>
      <c r="D61" s="24">
        <f t="shared" si="4"/>
        <v>135</v>
      </c>
      <c r="E61" s="25">
        <v>0.75</v>
      </c>
      <c r="F61" s="26">
        <v>46005.0</v>
      </c>
      <c r="G61" s="40" t="s">
        <v>40</v>
      </c>
      <c r="M61" s="10"/>
    </row>
    <row r="62">
      <c r="A62" s="21"/>
      <c r="B62" s="35"/>
      <c r="C62" s="36"/>
      <c r="D62" s="24">
        <f t="shared" si="4"/>
        <v>135</v>
      </c>
      <c r="E62" s="25">
        <v>0.75</v>
      </c>
      <c r="F62" s="26">
        <v>46006.0</v>
      </c>
      <c r="G62" s="40" t="s">
        <v>41</v>
      </c>
      <c r="M62" s="10"/>
    </row>
    <row r="63">
      <c r="A63" s="41" t="s">
        <v>42</v>
      </c>
      <c r="B63" s="35"/>
      <c r="C63" s="36"/>
      <c r="D63" s="24">
        <f>Sum(D42:D62)</f>
        <v>4770</v>
      </c>
      <c r="E63" s="25">
        <f>SUM(E42:E59)</f>
        <v>24.5</v>
      </c>
      <c r="F63" s="26"/>
      <c r="G63" s="27"/>
      <c r="M63" s="10"/>
    </row>
    <row r="64">
      <c r="A64" s="9"/>
      <c r="G64" s="8"/>
      <c r="N64" s="9"/>
      <c r="S64" s="8"/>
      <c r="T64" s="9"/>
      <c r="Y64" s="8"/>
    </row>
    <row r="65">
      <c r="A65" s="7"/>
      <c r="G65" s="8"/>
      <c r="N65" s="7"/>
      <c r="S65" s="8"/>
      <c r="T65" s="7"/>
      <c r="Y65" s="8"/>
    </row>
    <row r="66">
      <c r="A66" s="11"/>
      <c r="B66" s="12"/>
      <c r="C66" s="12"/>
      <c r="D66" s="12"/>
      <c r="E66" s="12"/>
      <c r="F66" s="12"/>
      <c r="G66" s="13"/>
      <c r="N66" s="11"/>
      <c r="O66" s="12"/>
      <c r="P66" s="12"/>
      <c r="Q66" s="12"/>
      <c r="R66" s="12"/>
      <c r="S66" s="13"/>
      <c r="T66" s="11"/>
      <c r="U66" s="12"/>
      <c r="V66" s="12"/>
      <c r="W66" s="12"/>
      <c r="X66" s="12"/>
      <c r="Y66" s="13"/>
    </row>
    <row r="67">
      <c r="C67" s="42"/>
      <c r="G67" s="43"/>
    </row>
    <row r="68">
      <c r="C68" s="42"/>
      <c r="G68" s="43"/>
    </row>
    <row r="69">
      <c r="C69" s="42"/>
      <c r="G69" s="43"/>
    </row>
    <row r="70">
      <c r="C70" s="42"/>
      <c r="G70" s="43"/>
    </row>
    <row r="71">
      <c r="C71" s="42"/>
      <c r="G71" s="43"/>
    </row>
    <row r="72">
      <c r="C72" s="42"/>
      <c r="G72" s="43"/>
    </row>
    <row r="73">
      <c r="C73" s="42"/>
      <c r="G73" s="43"/>
    </row>
    <row r="74">
      <c r="C74" s="42"/>
      <c r="G74" s="43"/>
    </row>
    <row r="75">
      <c r="C75" s="42"/>
      <c r="G75" s="43"/>
    </row>
    <row r="76">
      <c r="C76" s="42"/>
      <c r="G76" s="43"/>
    </row>
    <row r="77">
      <c r="C77" s="42"/>
      <c r="G77" s="43"/>
    </row>
    <row r="78">
      <c r="C78" s="42"/>
      <c r="G78" s="43"/>
    </row>
    <row r="79">
      <c r="C79" s="42"/>
      <c r="G79" s="43"/>
    </row>
    <row r="80">
      <c r="C80" s="42"/>
      <c r="G80" s="43"/>
    </row>
    <row r="81">
      <c r="C81" s="42"/>
      <c r="G81" s="43"/>
    </row>
    <row r="82">
      <c r="C82" s="42"/>
      <c r="G82" s="43"/>
    </row>
    <row r="83">
      <c r="C83" s="42"/>
      <c r="G83" s="43"/>
    </row>
    <row r="84">
      <c r="C84" s="42"/>
      <c r="G84" s="43"/>
    </row>
    <row r="85">
      <c r="C85" s="42"/>
      <c r="G85" s="43"/>
    </row>
    <row r="86">
      <c r="C86" s="42"/>
      <c r="G86" s="43"/>
    </row>
    <row r="87">
      <c r="C87" s="42"/>
      <c r="G87" s="43"/>
    </row>
    <row r="88">
      <c r="C88" s="42"/>
      <c r="G88" s="43"/>
    </row>
    <row r="89">
      <c r="C89" s="42"/>
      <c r="G89" s="43"/>
    </row>
    <row r="90">
      <c r="C90" s="42"/>
      <c r="G90" s="43"/>
    </row>
    <row r="91">
      <c r="C91" s="42"/>
      <c r="G91" s="43"/>
    </row>
    <row r="92">
      <c r="C92" s="42"/>
      <c r="G92" s="43"/>
    </row>
    <row r="93">
      <c r="C93" s="42"/>
      <c r="G93" s="43"/>
    </row>
    <row r="94">
      <c r="C94" s="42"/>
      <c r="G94" s="43"/>
    </row>
    <row r="95">
      <c r="C95" s="42"/>
      <c r="G95" s="43"/>
    </row>
    <row r="96">
      <c r="C96" s="42"/>
      <c r="G96" s="43"/>
    </row>
    <row r="97">
      <c r="C97" s="42"/>
      <c r="G97" s="43"/>
    </row>
    <row r="98">
      <c r="C98" s="42"/>
      <c r="G98" s="43"/>
    </row>
    <row r="99">
      <c r="C99" s="42"/>
      <c r="G99" s="43"/>
    </row>
    <row r="100">
      <c r="C100" s="42"/>
      <c r="G100" s="43"/>
    </row>
    <row r="101">
      <c r="C101" s="42"/>
      <c r="G101" s="43"/>
    </row>
    <row r="102">
      <c r="C102" s="42"/>
      <c r="G102" s="43"/>
    </row>
    <row r="103">
      <c r="C103" s="42"/>
      <c r="G103" s="43"/>
    </row>
    <row r="104">
      <c r="C104" s="42"/>
      <c r="G104" s="43"/>
    </row>
    <row r="105">
      <c r="C105" s="42"/>
      <c r="G105" s="43"/>
    </row>
    <row r="106">
      <c r="C106" s="42"/>
      <c r="G106" s="43"/>
    </row>
    <row r="107">
      <c r="C107" s="42"/>
      <c r="G107" s="43"/>
    </row>
    <row r="108">
      <c r="C108" s="42"/>
      <c r="G108" s="43"/>
    </row>
    <row r="109">
      <c r="C109" s="42"/>
      <c r="G109" s="43"/>
    </row>
    <row r="110">
      <c r="C110" s="42"/>
      <c r="G110" s="43"/>
    </row>
    <row r="111">
      <c r="C111" s="42"/>
      <c r="G111" s="43"/>
    </row>
    <row r="112">
      <c r="C112" s="42"/>
      <c r="G112" s="43"/>
    </row>
    <row r="113">
      <c r="C113" s="42"/>
      <c r="G113" s="43"/>
    </row>
    <row r="114">
      <c r="C114" s="42"/>
      <c r="G114" s="43"/>
    </row>
    <row r="115">
      <c r="C115" s="42"/>
      <c r="G115" s="43"/>
    </row>
    <row r="116">
      <c r="C116" s="42"/>
      <c r="G116" s="43"/>
    </row>
    <row r="117">
      <c r="C117" s="42"/>
      <c r="G117" s="43"/>
    </row>
    <row r="118">
      <c r="C118" s="42"/>
      <c r="G118" s="43"/>
    </row>
    <row r="119">
      <c r="C119" s="42"/>
      <c r="G119" s="43"/>
    </row>
    <row r="120">
      <c r="C120" s="42"/>
      <c r="G120" s="43"/>
    </row>
    <row r="121">
      <c r="C121" s="42"/>
      <c r="G121" s="43"/>
    </row>
    <row r="122">
      <c r="C122" s="42"/>
      <c r="G122" s="43"/>
    </row>
    <row r="123">
      <c r="C123" s="42"/>
      <c r="G123" s="43"/>
    </row>
    <row r="124">
      <c r="C124" s="42"/>
      <c r="G124" s="43"/>
    </row>
    <row r="125">
      <c r="C125" s="42"/>
      <c r="G125" s="43"/>
    </row>
    <row r="126">
      <c r="C126" s="42"/>
      <c r="G126" s="43"/>
    </row>
    <row r="127">
      <c r="C127" s="42"/>
      <c r="G127" s="43"/>
    </row>
    <row r="128">
      <c r="C128" s="42"/>
      <c r="G128" s="43"/>
    </row>
    <row r="129">
      <c r="C129" s="42"/>
      <c r="G129" s="43"/>
    </row>
    <row r="130">
      <c r="C130" s="42"/>
      <c r="G130" s="43"/>
    </row>
    <row r="131">
      <c r="C131" s="42"/>
      <c r="G131" s="43"/>
    </row>
    <row r="132">
      <c r="C132" s="42"/>
      <c r="G132" s="43"/>
    </row>
    <row r="133">
      <c r="C133" s="42"/>
      <c r="G133" s="43"/>
    </row>
    <row r="134">
      <c r="C134" s="42"/>
      <c r="G134" s="43"/>
    </row>
    <row r="135">
      <c r="C135" s="42"/>
      <c r="G135" s="43"/>
    </row>
    <row r="136">
      <c r="C136" s="42"/>
      <c r="G136" s="43"/>
    </row>
    <row r="137">
      <c r="C137" s="42"/>
      <c r="G137" s="43"/>
    </row>
    <row r="138">
      <c r="C138" s="42"/>
      <c r="G138" s="43"/>
    </row>
    <row r="139">
      <c r="C139" s="42"/>
      <c r="G139" s="43"/>
    </row>
    <row r="140">
      <c r="C140" s="42"/>
      <c r="G140" s="43"/>
    </row>
    <row r="141">
      <c r="C141" s="42"/>
      <c r="G141" s="43"/>
    </row>
    <row r="142">
      <c r="C142" s="42"/>
      <c r="G142" s="43"/>
    </row>
    <row r="143">
      <c r="C143" s="42"/>
      <c r="G143" s="43"/>
    </row>
    <row r="144">
      <c r="C144" s="42"/>
      <c r="G144" s="43"/>
    </row>
    <row r="145">
      <c r="C145" s="42"/>
      <c r="G145" s="43"/>
    </row>
    <row r="146">
      <c r="C146" s="42"/>
      <c r="G146" s="43"/>
    </row>
    <row r="147">
      <c r="C147" s="42"/>
      <c r="G147" s="43"/>
    </row>
    <row r="148">
      <c r="C148" s="42"/>
      <c r="G148" s="43"/>
    </row>
    <row r="149">
      <c r="C149" s="42"/>
      <c r="G149" s="43"/>
    </row>
    <row r="150">
      <c r="C150" s="42"/>
      <c r="G150" s="43"/>
    </row>
    <row r="151">
      <c r="C151" s="42"/>
      <c r="G151" s="43"/>
    </row>
    <row r="152">
      <c r="C152" s="42"/>
      <c r="G152" s="43"/>
    </row>
    <row r="153">
      <c r="C153" s="42"/>
      <c r="G153" s="43"/>
    </row>
    <row r="154">
      <c r="C154" s="42"/>
      <c r="G154" s="43"/>
    </row>
    <row r="155">
      <c r="C155" s="42"/>
      <c r="G155" s="43"/>
    </row>
    <row r="156">
      <c r="C156" s="42"/>
      <c r="G156" s="43"/>
    </row>
    <row r="157">
      <c r="C157" s="42"/>
      <c r="G157" s="43"/>
    </row>
    <row r="158">
      <c r="C158" s="42"/>
      <c r="G158" s="43"/>
    </row>
    <row r="159">
      <c r="C159" s="42"/>
      <c r="G159" s="43"/>
    </row>
    <row r="160">
      <c r="C160" s="42"/>
      <c r="G160" s="43"/>
    </row>
    <row r="161">
      <c r="C161" s="42"/>
      <c r="G161" s="43"/>
    </row>
    <row r="162">
      <c r="C162" s="42"/>
      <c r="G162" s="43"/>
    </row>
    <row r="163">
      <c r="C163" s="42"/>
      <c r="G163" s="43"/>
    </row>
    <row r="164">
      <c r="C164" s="42"/>
      <c r="G164" s="43"/>
    </row>
    <row r="165">
      <c r="C165" s="42"/>
      <c r="G165" s="43"/>
    </row>
    <row r="166">
      <c r="C166" s="42"/>
      <c r="G166" s="43"/>
    </row>
    <row r="167">
      <c r="C167" s="42"/>
      <c r="G167" s="43"/>
    </row>
    <row r="168">
      <c r="C168" s="42"/>
      <c r="G168" s="43"/>
    </row>
    <row r="169">
      <c r="C169" s="42"/>
      <c r="G169" s="43"/>
    </row>
    <row r="170">
      <c r="C170" s="42"/>
      <c r="G170" s="43"/>
    </row>
    <row r="171">
      <c r="C171" s="42"/>
      <c r="G171" s="43"/>
    </row>
    <row r="172">
      <c r="C172" s="42"/>
      <c r="G172" s="43"/>
    </row>
    <row r="173">
      <c r="C173" s="42"/>
      <c r="G173" s="43"/>
    </row>
    <row r="174">
      <c r="C174" s="42"/>
      <c r="G174" s="43"/>
    </row>
    <row r="175">
      <c r="C175" s="42"/>
      <c r="G175" s="43"/>
    </row>
    <row r="176">
      <c r="C176" s="42"/>
      <c r="G176" s="43"/>
    </row>
    <row r="177">
      <c r="C177" s="42"/>
      <c r="G177" s="43"/>
    </row>
    <row r="178">
      <c r="C178" s="42"/>
      <c r="G178" s="43"/>
    </row>
    <row r="179">
      <c r="C179" s="42"/>
      <c r="G179" s="43"/>
    </row>
    <row r="180">
      <c r="C180" s="42"/>
      <c r="G180" s="43"/>
    </row>
    <row r="181">
      <c r="C181" s="42"/>
      <c r="G181" s="43"/>
    </row>
    <row r="182">
      <c r="C182" s="42"/>
      <c r="G182" s="43"/>
    </row>
    <row r="183">
      <c r="C183" s="42"/>
      <c r="G183" s="43"/>
    </row>
    <row r="184">
      <c r="C184" s="42"/>
      <c r="G184" s="43"/>
    </row>
    <row r="185">
      <c r="C185" s="42"/>
      <c r="G185" s="43"/>
    </row>
    <row r="186">
      <c r="C186" s="42"/>
      <c r="G186" s="43"/>
    </row>
    <row r="187">
      <c r="C187" s="42"/>
      <c r="G187" s="43"/>
    </row>
    <row r="188">
      <c r="C188" s="42"/>
      <c r="G188" s="43"/>
    </row>
    <row r="189">
      <c r="C189" s="42"/>
      <c r="G189" s="43"/>
    </row>
    <row r="190">
      <c r="C190" s="42"/>
      <c r="G190" s="43"/>
    </row>
    <row r="191">
      <c r="C191" s="42"/>
      <c r="G191" s="43"/>
    </row>
    <row r="192">
      <c r="C192" s="42"/>
      <c r="G192" s="43"/>
    </row>
    <row r="193">
      <c r="C193" s="42"/>
      <c r="G193" s="43"/>
    </row>
    <row r="194">
      <c r="C194" s="42"/>
      <c r="G194" s="43"/>
    </row>
    <row r="195">
      <c r="C195" s="42"/>
      <c r="G195" s="43"/>
    </row>
    <row r="196">
      <c r="C196" s="42"/>
      <c r="G196" s="43"/>
    </row>
    <row r="197">
      <c r="C197" s="42"/>
      <c r="G197" s="43"/>
    </row>
    <row r="198">
      <c r="C198" s="42"/>
      <c r="G198" s="43"/>
    </row>
    <row r="199">
      <c r="C199" s="42"/>
      <c r="G199" s="43"/>
    </row>
    <row r="200">
      <c r="C200" s="42"/>
      <c r="G200" s="43"/>
    </row>
    <row r="201">
      <c r="C201" s="42"/>
      <c r="G201" s="43"/>
    </row>
    <row r="202">
      <c r="C202" s="42"/>
      <c r="G202" s="43"/>
    </row>
    <row r="203">
      <c r="C203" s="42"/>
      <c r="G203" s="43"/>
    </row>
    <row r="204">
      <c r="C204" s="42"/>
      <c r="G204" s="43"/>
    </row>
    <row r="205">
      <c r="C205" s="42"/>
      <c r="G205" s="43"/>
    </row>
    <row r="206">
      <c r="C206" s="42"/>
      <c r="G206" s="43"/>
    </row>
    <row r="207">
      <c r="C207" s="42"/>
      <c r="G207" s="43"/>
    </row>
    <row r="208">
      <c r="C208" s="42"/>
      <c r="G208" s="43"/>
    </row>
    <row r="209">
      <c r="C209" s="42"/>
      <c r="G209" s="43"/>
    </row>
    <row r="210">
      <c r="C210" s="42"/>
      <c r="G210" s="43"/>
    </row>
    <row r="211">
      <c r="C211" s="42"/>
      <c r="G211" s="43"/>
    </row>
    <row r="212">
      <c r="C212" s="42"/>
      <c r="G212" s="43"/>
    </row>
    <row r="213">
      <c r="C213" s="42"/>
      <c r="G213" s="43"/>
    </row>
    <row r="214">
      <c r="C214" s="42"/>
      <c r="G214" s="43"/>
    </row>
    <row r="215">
      <c r="C215" s="42"/>
      <c r="G215" s="43"/>
    </row>
    <row r="216">
      <c r="C216" s="42"/>
      <c r="G216" s="43"/>
    </row>
    <row r="217">
      <c r="C217" s="42"/>
      <c r="G217" s="43"/>
    </row>
    <row r="218">
      <c r="C218" s="42"/>
      <c r="G218" s="43"/>
    </row>
    <row r="219">
      <c r="C219" s="42"/>
      <c r="G219" s="43"/>
    </row>
    <row r="220">
      <c r="C220" s="42"/>
      <c r="G220" s="43"/>
    </row>
    <row r="221">
      <c r="C221" s="42"/>
      <c r="G221" s="43"/>
    </row>
    <row r="222">
      <c r="C222" s="42"/>
      <c r="G222" s="43"/>
    </row>
    <row r="223">
      <c r="C223" s="42"/>
      <c r="G223" s="43"/>
    </row>
    <row r="224">
      <c r="C224" s="42"/>
      <c r="G224" s="43"/>
    </row>
    <row r="225">
      <c r="C225" s="42"/>
      <c r="G225" s="43"/>
    </row>
    <row r="226">
      <c r="C226" s="42"/>
      <c r="G226" s="43"/>
    </row>
    <row r="227">
      <c r="C227" s="42"/>
      <c r="G227" s="43"/>
    </row>
    <row r="228">
      <c r="C228" s="42"/>
      <c r="G228" s="43"/>
    </row>
    <row r="229">
      <c r="C229" s="42"/>
      <c r="G229" s="43"/>
    </row>
    <row r="230">
      <c r="C230" s="42"/>
      <c r="G230" s="43"/>
    </row>
    <row r="231">
      <c r="C231" s="42"/>
      <c r="G231" s="43"/>
    </row>
    <row r="232">
      <c r="C232" s="42"/>
      <c r="G232" s="43"/>
    </row>
    <row r="233">
      <c r="C233" s="42"/>
      <c r="G233" s="43"/>
    </row>
    <row r="234">
      <c r="C234" s="42"/>
      <c r="G234" s="43"/>
    </row>
    <row r="235">
      <c r="C235" s="42"/>
      <c r="G235" s="43"/>
    </row>
    <row r="236">
      <c r="C236" s="42"/>
      <c r="G236" s="43"/>
    </row>
    <row r="237">
      <c r="C237" s="42"/>
      <c r="G237" s="43"/>
    </row>
    <row r="238">
      <c r="C238" s="42"/>
      <c r="G238" s="43"/>
    </row>
    <row r="239">
      <c r="C239" s="42"/>
      <c r="G239" s="43"/>
    </row>
    <row r="240">
      <c r="C240" s="42"/>
      <c r="G240" s="43"/>
    </row>
    <row r="241">
      <c r="C241" s="42"/>
      <c r="G241" s="43"/>
    </row>
    <row r="242">
      <c r="C242" s="42"/>
      <c r="G242" s="43"/>
    </row>
    <row r="243">
      <c r="C243" s="42"/>
      <c r="G243" s="43"/>
    </row>
    <row r="244">
      <c r="C244" s="42"/>
      <c r="G244" s="43"/>
    </row>
    <row r="245">
      <c r="C245" s="42"/>
      <c r="G245" s="43"/>
    </row>
    <row r="246">
      <c r="C246" s="42"/>
      <c r="G246" s="43"/>
    </row>
    <row r="247">
      <c r="C247" s="42"/>
      <c r="G247" s="43"/>
    </row>
    <row r="248">
      <c r="C248" s="42"/>
      <c r="G248" s="43"/>
    </row>
    <row r="249">
      <c r="C249" s="42"/>
      <c r="G249" s="43"/>
    </row>
    <row r="250">
      <c r="C250" s="42"/>
      <c r="G250" s="43"/>
    </row>
    <row r="251">
      <c r="C251" s="42"/>
      <c r="G251" s="43"/>
    </row>
    <row r="252">
      <c r="C252" s="42"/>
      <c r="G252" s="43"/>
    </row>
    <row r="253">
      <c r="C253" s="42"/>
      <c r="G253" s="43"/>
    </row>
    <row r="254">
      <c r="C254" s="42"/>
      <c r="G254" s="43"/>
    </row>
    <row r="255">
      <c r="C255" s="42"/>
      <c r="G255" s="43"/>
    </row>
    <row r="256">
      <c r="C256" s="42"/>
      <c r="G256" s="43"/>
    </row>
    <row r="257">
      <c r="C257" s="42"/>
      <c r="G257" s="43"/>
    </row>
    <row r="258">
      <c r="C258" s="42"/>
      <c r="G258" s="43"/>
    </row>
    <row r="259">
      <c r="C259" s="42"/>
      <c r="G259" s="43"/>
    </row>
    <row r="260">
      <c r="C260" s="42"/>
      <c r="G260" s="43"/>
    </row>
    <row r="261">
      <c r="C261" s="42"/>
      <c r="G261" s="43"/>
    </row>
    <row r="262">
      <c r="C262" s="42"/>
      <c r="G262" s="43"/>
    </row>
    <row r="263">
      <c r="C263" s="42"/>
      <c r="G263" s="43"/>
    </row>
    <row r="264">
      <c r="C264" s="42"/>
      <c r="G264" s="43"/>
    </row>
    <row r="265">
      <c r="C265" s="42"/>
      <c r="G265" s="43"/>
    </row>
    <row r="266">
      <c r="C266" s="42"/>
      <c r="G266" s="43"/>
    </row>
    <row r="267">
      <c r="C267" s="42"/>
      <c r="G267" s="43"/>
    </row>
    <row r="268">
      <c r="C268" s="42"/>
      <c r="G268" s="43"/>
    </row>
    <row r="269">
      <c r="C269" s="42"/>
      <c r="G269" s="43"/>
    </row>
    <row r="270">
      <c r="C270" s="42"/>
      <c r="G270" s="43"/>
    </row>
    <row r="271">
      <c r="C271" s="42"/>
      <c r="G271" s="43"/>
    </row>
    <row r="272">
      <c r="C272" s="42"/>
      <c r="G272" s="43"/>
    </row>
    <row r="273">
      <c r="C273" s="42"/>
      <c r="G273" s="43"/>
    </row>
    <row r="274">
      <c r="C274" s="42"/>
      <c r="G274" s="43"/>
    </row>
    <row r="275">
      <c r="C275" s="42"/>
      <c r="G275" s="43"/>
    </row>
    <row r="276">
      <c r="C276" s="42"/>
      <c r="G276" s="43"/>
    </row>
    <row r="277">
      <c r="C277" s="42"/>
      <c r="G277" s="43"/>
    </row>
    <row r="278">
      <c r="C278" s="42"/>
      <c r="G278" s="43"/>
    </row>
    <row r="279">
      <c r="C279" s="42"/>
      <c r="G279" s="43"/>
    </row>
    <row r="280">
      <c r="C280" s="42"/>
      <c r="G280" s="43"/>
    </row>
    <row r="281">
      <c r="C281" s="42"/>
      <c r="G281" s="43"/>
    </row>
    <row r="282">
      <c r="C282" s="42"/>
      <c r="G282" s="43"/>
    </row>
    <row r="283">
      <c r="C283" s="42"/>
      <c r="G283" s="43"/>
    </row>
    <row r="284">
      <c r="C284" s="42"/>
      <c r="G284" s="43"/>
    </row>
    <row r="285">
      <c r="C285" s="42"/>
      <c r="G285" s="43"/>
    </row>
    <row r="286">
      <c r="C286" s="42"/>
      <c r="G286" s="43"/>
    </row>
    <row r="287">
      <c r="C287" s="42"/>
      <c r="G287" s="43"/>
    </row>
    <row r="288">
      <c r="C288" s="42"/>
      <c r="G288" s="43"/>
    </row>
    <row r="289">
      <c r="C289" s="42"/>
      <c r="G289" s="43"/>
    </row>
    <row r="290">
      <c r="C290" s="42"/>
      <c r="G290" s="43"/>
    </row>
    <row r="291">
      <c r="C291" s="42"/>
      <c r="G291" s="43"/>
    </row>
    <row r="292">
      <c r="C292" s="42"/>
      <c r="G292" s="43"/>
    </row>
    <row r="293">
      <c r="C293" s="42"/>
      <c r="G293" s="43"/>
    </row>
    <row r="294">
      <c r="C294" s="42"/>
      <c r="G294" s="43"/>
    </row>
    <row r="295">
      <c r="C295" s="42"/>
      <c r="G295" s="43"/>
    </row>
    <row r="296">
      <c r="C296" s="42"/>
      <c r="G296" s="43"/>
    </row>
    <row r="297">
      <c r="C297" s="42"/>
      <c r="G297" s="43"/>
    </row>
    <row r="298">
      <c r="C298" s="42"/>
      <c r="G298" s="43"/>
    </row>
    <row r="299">
      <c r="C299" s="42"/>
      <c r="G299" s="43"/>
    </row>
    <row r="300">
      <c r="C300" s="42"/>
      <c r="G300" s="43"/>
    </row>
    <row r="301">
      <c r="C301" s="42"/>
      <c r="G301" s="43"/>
    </row>
    <row r="302">
      <c r="C302" s="42"/>
      <c r="G302" s="43"/>
    </row>
    <row r="303">
      <c r="C303" s="42"/>
      <c r="G303" s="43"/>
    </row>
    <row r="304">
      <c r="C304" s="42"/>
      <c r="G304" s="43"/>
    </row>
    <row r="305">
      <c r="C305" s="42"/>
      <c r="G305" s="43"/>
    </row>
    <row r="306">
      <c r="C306" s="42"/>
      <c r="G306" s="43"/>
    </row>
    <row r="307">
      <c r="C307" s="42"/>
      <c r="G307" s="43"/>
    </row>
    <row r="308">
      <c r="C308" s="42"/>
      <c r="G308" s="43"/>
    </row>
    <row r="309">
      <c r="C309" s="42"/>
      <c r="G309" s="43"/>
    </row>
    <row r="310">
      <c r="C310" s="42"/>
      <c r="G310" s="43"/>
    </row>
    <row r="311">
      <c r="C311" s="42"/>
      <c r="G311" s="43"/>
    </row>
    <row r="312">
      <c r="C312" s="42"/>
      <c r="G312" s="43"/>
    </row>
    <row r="313">
      <c r="C313" s="42"/>
      <c r="G313" s="43"/>
    </row>
    <row r="314">
      <c r="C314" s="42"/>
      <c r="G314" s="43"/>
    </row>
    <row r="315">
      <c r="C315" s="42"/>
      <c r="G315" s="43"/>
    </row>
    <row r="316">
      <c r="C316" s="42"/>
      <c r="G316" s="43"/>
    </row>
    <row r="317">
      <c r="C317" s="42"/>
      <c r="G317" s="43"/>
    </row>
    <row r="318">
      <c r="C318" s="42"/>
      <c r="G318" s="43"/>
    </row>
    <row r="319">
      <c r="C319" s="42"/>
      <c r="G319" s="43"/>
    </row>
    <row r="320">
      <c r="C320" s="42"/>
      <c r="G320" s="43"/>
    </row>
    <row r="321">
      <c r="C321" s="42"/>
      <c r="G321" s="43"/>
    </row>
    <row r="322">
      <c r="C322" s="42"/>
      <c r="G322" s="43"/>
    </row>
    <row r="323">
      <c r="C323" s="42"/>
      <c r="G323" s="43"/>
    </row>
    <row r="324">
      <c r="C324" s="42"/>
      <c r="G324" s="43"/>
    </row>
    <row r="325">
      <c r="C325" s="42"/>
      <c r="G325" s="43"/>
    </row>
    <row r="326">
      <c r="C326" s="42"/>
      <c r="G326" s="43"/>
    </row>
    <row r="327">
      <c r="C327" s="42"/>
      <c r="G327" s="43"/>
    </row>
    <row r="328">
      <c r="C328" s="42"/>
      <c r="G328" s="43"/>
    </row>
    <row r="329">
      <c r="C329" s="42"/>
      <c r="G329" s="43"/>
    </row>
    <row r="330">
      <c r="C330" s="42"/>
      <c r="G330" s="43"/>
    </row>
    <row r="331">
      <c r="C331" s="42"/>
      <c r="G331" s="43"/>
    </row>
    <row r="332">
      <c r="C332" s="42"/>
      <c r="G332" s="43"/>
    </row>
    <row r="333">
      <c r="C333" s="42"/>
      <c r="G333" s="43"/>
    </row>
    <row r="334">
      <c r="C334" s="42"/>
      <c r="G334" s="43"/>
    </row>
    <row r="335">
      <c r="C335" s="42"/>
      <c r="G335" s="43"/>
    </row>
    <row r="336">
      <c r="C336" s="42"/>
      <c r="G336" s="43"/>
    </row>
    <row r="337">
      <c r="C337" s="42"/>
      <c r="G337" s="43"/>
    </row>
    <row r="338">
      <c r="C338" s="42"/>
      <c r="G338" s="43"/>
    </row>
    <row r="339">
      <c r="C339" s="42"/>
      <c r="G339" s="43"/>
    </row>
    <row r="340">
      <c r="C340" s="42"/>
      <c r="G340" s="43"/>
    </row>
    <row r="341">
      <c r="C341" s="42"/>
      <c r="G341" s="43"/>
    </row>
    <row r="342">
      <c r="C342" s="42"/>
      <c r="G342" s="43"/>
    </row>
    <row r="343">
      <c r="C343" s="42"/>
      <c r="G343" s="43"/>
    </row>
    <row r="344">
      <c r="C344" s="42"/>
      <c r="G344" s="43"/>
    </row>
    <row r="345">
      <c r="C345" s="42"/>
      <c r="G345" s="43"/>
    </row>
    <row r="346">
      <c r="C346" s="42"/>
      <c r="G346" s="43"/>
    </row>
    <row r="347">
      <c r="C347" s="42"/>
      <c r="G347" s="43"/>
    </row>
    <row r="348">
      <c r="C348" s="42"/>
      <c r="G348" s="43"/>
    </row>
    <row r="349">
      <c r="C349" s="42"/>
      <c r="G349" s="43"/>
    </row>
    <row r="350">
      <c r="C350" s="42"/>
      <c r="G350" s="43"/>
    </row>
    <row r="351">
      <c r="C351" s="42"/>
      <c r="G351" s="43"/>
    </row>
    <row r="352">
      <c r="C352" s="42"/>
      <c r="G352" s="43"/>
    </row>
    <row r="353">
      <c r="C353" s="42"/>
      <c r="G353" s="43"/>
    </row>
    <row r="354">
      <c r="C354" s="42"/>
      <c r="G354" s="43"/>
    </row>
    <row r="355">
      <c r="C355" s="42"/>
      <c r="G355" s="43"/>
    </row>
    <row r="356">
      <c r="C356" s="42"/>
      <c r="G356" s="43"/>
    </row>
    <row r="357">
      <c r="C357" s="42"/>
      <c r="G357" s="43"/>
    </row>
    <row r="358">
      <c r="C358" s="42"/>
      <c r="G358" s="43"/>
    </row>
    <row r="359">
      <c r="C359" s="42"/>
      <c r="G359" s="43"/>
    </row>
    <row r="360">
      <c r="C360" s="42"/>
      <c r="G360" s="43"/>
    </row>
    <row r="361">
      <c r="C361" s="42"/>
      <c r="G361" s="43"/>
    </row>
    <row r="362">
      <c r="C362" s="42"/>
      <c r="G362" s="43"/>
    </row>
    <row r="363">
      <c r="C363" s="42"/>
      <c r="G363" s="43"/>
    </row>
    <row r="364">
      <c r="C364" s="42"/>
      <c r="G364" s="43"/>
    </row>
    <row r="365">
      <c r="C365" s="42"/>
      <c r="G365" s="43"/>
    </row>
    <row r="366">
      <c r="C366" s="42"/>
      <c r="G366" s="43"/>
    </row>
    <row r="367">
      <c r="C367" s="42"/>
      <c r="G367" s="43"/>
    </row>
    <row r="368">
      <c r="C368" s="42"/>
      <c r="G368" s="43"/>
    </row>
    <row r="369">
      <c r="C369" s="42"/>
      <c r="G369" s="43"/>
    </row>
    <row r="370">
      <c r="C370" s="42"/>
      <c r="G370" s="43"/>
    </row>
    <row r="371">
      <c r="C371" s="42"/>
      <c r="G371" s="43"/>
    </row>
    <row r="372">
      <c r="C372" s="42"/>
      <c r="G372" s="43"/>
    </row>
    <row r="373">
      <c r="C373" s="42"/>
      <c r="G373" s="43"/>
    </row>
    <row r="374">
      <c r="C374" s="42"/>
      <c r="G374" s="43"/>
    </row>
    <row r="375">
      <c r="C375" s="42"/>
      <c r="G375" s="43"/>
    </row>
    <row r="376">
      <c r="C376" s="42"/>
      <c r="G376" s="43"/>
    </row>
    <row r="377">
      <c r="C377" s="42"/>
      <c r="G377" s="43"/>
    </row>
    <row r="378">
      <c r="C378" s="42"/>
      <c r="G378" s="43"/>
    </row>
    <row r="379">
      <c r="C379" s="42"/>
      <c r="G379" s="43"/>
    </row>
    <row r="380">
      <c r="C380" s="42"/>
      <c r="G380" s="43"/>
    </row>
    <row r="381">
      <c r="C381" s="42"/>
      <c r="G381" s="43"/>
    </row>
    <row r="382">
      <c r="C382" s="42"/>
      <c r="G382" s="43"/>
    </row>
    <row r="383">
      <c r="C383" s="42"/>
      <c r="G383" s="43"/>
    </row>
    <row r="384">
      <c r="C384" s="42"/>
      <c r="G384" s="43"/>
    </row>
    <row r="385">
      <c r="C385" s="42"/>
      <c r="G385" s="43"/>
    </row>
    <row r="386">
      <c r="C386" s="42"/>
      <c r="G386" s="43"/>
    </row>
    <row r="387">
      <c r="C387" s="42"/>
      <c r="G387" s="43"/>
    </row>
    <row r="388">
      <c r="C388" s="42"/>
      <c r="G388" s="43"/>
    </row>
    <row r="389">
      <c r="C389" s="42"/>
      <c r="G389" s="43"/>
    </row>
    <row r="390">
      <c r="C390" s="42"/>
      <c r="G390" s="43"/>
    </row>
    <row r="391">
      <c r="C391" s="42"/>
      <c r="G391" s="43"/>
    </row>
    <row r="392">
      <c r="C392" s="42"/>
      <c r="G392" s="43"/>
    </row>
    <row r="393">
      <c r="C393" s="42"/>
      <c r="G393" s="43"/>
    </row>
    <row r="394">
      <c r="C394" s="42"/>
      <c r="G394" s="43"/>
    </row>
    <row r="395">
      <c r="C395" s="42"/>
      <c r="G395" s="43"/>
    </row>
    <row r="396">
      <c r="C396" s="42"/>
      <c r="G396" s="43"/>
    </row>
    <row r="397">
      <c r="C397" s="42"/>
      <c r="G397" s="43"/>
    </row>
    <row r="398">
      <c r="C398" s="42"/>
      <c r="G398" s="43"/>
    </row>
    <row r="399">
      <c r="C399" s="42"/>
      <c r="G399" s="43"/>
    </row>
    <row r="400">
      <c r="C400" s="42"/>
      <c r="G400" s="43"/>
    </row>
    <row r="401">
      <c r="C401" s="42"/>
      <c r="G401" s="43"/>
    </row>
    <row r="402">
      <c r="C402" s="42"/>
      <c r="G402" s="43"/>
    </row>
    <row r="403">
      <c r="C403" s="42"/>
      <c r="G403" s="43"/>
    </row>
    <row r="404">
      <c r="C404" s="42"/>
      <c r="G404" s="43"/>
    </row>
    <row r="405">
      <c r="C405" s="42"/>
      <c r="G405" s="43"/>
    </row>
    <row r="406">
      <c r="C406" s="42"/>
      <c r="G406" s="43"/>
    </row>
    <row r="407">
      <c r="C407" s="42"/>
      <c r="G407" s="43"/>
    </row>
    <row r="408">
      <c r="C408" s="42"/>
      <c r="G408" s="43"/>
    </row>
    <row r="409">
      <c r="C409" s="42"/>
      <c r="G409" s="43"/>
    </row>
    <row r="410">
      <c r="C410" s="42"/>
      <c r="G410" s="43"/>
    </row>
    <row r="411">
      <c r="C411" s="42"/>
      <c r="G411" s="43"/>
    </row>
    <row r="412">
      <c r="C412" s="42"/>
      <c r="G412" s="43"/>
    </row>
    <row r="413">
      <c r="C413" s="42"/>
      <c r="G413" s="43"/>
    </row>
    <row r="414">
      <c r="C414" s="42"/>
      <c r="G414" s="43"/>
    </row>
    <row r="415">
      <c r="C415" s="42"/>
      <c r="G415" s="43"/>
    </row>
    <row r="416">
      <c r="C416" s="42"/>
      <c r="G416" s="43"/>
    </row>
    <row r="417">
      <c r="C417" s="42"/>
      <c r="G417" s="43"/>
    </row>
    <row r="418">
      <c r="C418" s="42"/>
      <c r="G418" s="43"/>
    </row>
    <row r="419">
      <c r="C419" s="42"/>
      <c r="G419" s="43"/>
    </row>
    <row r="420">
      <c r="C420" s="42"/>
      <c r="G420" s="43"/>
    </row>
    <row r="421">
      <c r="C421" s="42"/>
      <c r="G421" s="43"/>
    </row>
    <row r="422">
      <c r="C422" s="42"/>
      <c r="G422" s="43"/>
    </row>
    <row r="423">
      <c r="C423" s="42"/>
      <c r="G423" s="43"/>
    </row>
    <row r="424">
      <c r="C424" s="42"/>
      <c r="G424" s="43"/>
    </row>
    <row r="425">
      <c r="C425" s="42"/>
      <c r="G425" s="43"/>
    </row>
    <row r="426">
      <c r="C426" s="42"/>
      <c r="G426" s="43"/>
    </row>
    <row r="427">
      <c r="C427" s="42"/>
      <c r="G427" s="43"/>
    </row>
    <row r="428">
      <c r="C428" s="42"/>
      <c r="G428" s="43"/>
    </row>
    <row r="429">
      <c r="C429" s="42"/>
      <c r="G429" s="43"/>
    </row>
    <row r="430">
      <c r="C430" s="42"/>
      <c r="G430" s="43"/>
    </row>
    <row r="431">
      <c r="C431" s="42"/>
      <c r="G431" s="43"/>
    </row>
    <row r="432">
      <c r="C432" s="42"/>
      <c r="G432" s="43"/>
    </row>
    <row r="433">
      <c r="C433" s="42"/>
      <c r="G433" s="43"/>
    </row>
    <row r="434">
      <c r="C434" s="42"/>
      <c r="G434" s="43"/>
    </row>
    <row r="435">
      <c r="C435" s="42"/>
      <c r="G435" s="43"/>
    </row>
    <row r="436">
      <c r="C436" s="42"/>
      <c r="G436" s="43"/>
    </row>
    <row r="437">
      <c r="C437" s="42"/>
      <c r="G437" s="43"/>
    </row>
    <row r="438">
      <c r="C438" s="42"/>
      <c r="G438" s="43"/>
    </row>
    <row r="439">
      <c r="C439" s="42"/>
      <c r="G439" s="43"/>
    </row>
    <row r="440">
      <c r="C440" s="42"/>
      <c r="G440" s="43"/>
    </row>
    <row r="441">
      <c r="C441" s="42"/>
      <c r="G441" s="43"/>
    </row>
    <row r="442">
      <c r="C442" s="42"/>
      <c r="G442" s="43"/>
    </row>
    <row r="443">
      <c r="C443" s="42"/>
      <c r="G443" s="43"/>
    </row>
    <row r="444">
      <c r="C444" s="42"/>
      <c r="G444" s="43"/>
    </row>
    <row r="445">
      <c r="C445" s="42"/>
      <c r="G445" s="43"/>
    </row>
    <row r="446">
      <c r="C446" s="42"/>
      <c r="G446" s="43"/>
    </row>
    <row r="447">
      <c r="C447" s="42"/>
      <c r="G447" s="43"/>
    </row>
    <row r="448">
      <c r="C448" s="42"/>
      <c r="G448" s="43"/>
    </row>
    <row r="449">
      <c r="C449" s="42"/>
      <c r="G449" s="43"/>
    </row>
    <row r="450">
      <c r="C450" s="42"/>
      <c r="G450" s="43"/>
    </row>
    <row r="451">
      <c r="C451" s="42"/>
      <c r="G451" s="43"/>
    </row>
    <row r="452">
      <c r="C452" s="42"/>
      <c r="G452" s="43"/>
    </row>
    <row r="453">
      <c r="C453" s="42"/>
      <c r="G453" s="43"/>
    </row>
    <row r="454">
      <c r="C454" s="42"/>
      <c r="G454" s="43"/>
    </row>
    <row r="455">
      <c r="C455" s="42"/>
      <c r="G455" s="43"/>
    </row>
    <row r="456">
      <c r="C456" s="42"/>
      <c r="G456" s="43"/>
    </row>
    <row r="457">
      <c r="C457" s="42"/>
      <c r="G457" s="43"/>
    </row>
    <row r="458">
      <c r="C458" s="42"/>
      <c r="G458" s="43"/>
    </row>
    <row r="459">
      <c r="C459" s="42"/>
      <c r="G459" s="43"/>
    </row>
    <row r="460">
      <c r="C460" s="42"/>
      <c r="G460" s="43"/>
    </row>
    <row r="461">
      <c r="C461" s="42"/>
      <c r="G461" s="43"/>
    </row>
    <row r="462">
      <c r="C462" s="42"/>
      <c r="G462" s="43"/>
    </row>
    <row r="463">
      <c r="C463" s="42"/>
      <c r="G463" s="43"/>
    </row>
    <row r="464">
      <c r="C464" s="42"/>
      <c r="G464" s="43"/>
    </row>
    <row r="465">
      <c r="C465" s="42"/>
      <c r="G465" s="43"/>
    </row>
    <row r="466">
      <c r="C466" s="42"/>
      <c r="G466" s="43"/>
    </row>
    <row r="467">
      <c r="C467" s="42"/>
      <c r="G467" s="43"/>
    </row>
    <row r="468">
      <c r="C468" s="42"/>
      <c r="G468" s="43"/>
    </row>
    <row r="469">
      <c r="C469" s="42"/>
      <c r="G469" s="43"/>
    </row>
    <row r="470">
      <c r="C470" s="42"/>
      <c r="G470" s="43"/>
    </row>
    <row r="471">
      <c r="C471" s="42"/>
      <c r="G471" s="43"/>
    </row>
    <row r="472">
      <c r="C472" s="42"/>
      <c r="G472" s="43"/>
    </row>
    <row r="473">
      <c r="C473" s="42"/>
      <c r="G473" s="43"/>
    </row>
    <row r="474">
      <c r="C474" s="42"/>
      <c r="G474" s="43"/>
    </row>
    <row r="475">
      <c r="C475" s="42"/>
      <c r="G475" s="43"/>
    </row>
    <row r="476">
      <c r="C476" s="42"/>
      <c r="G476" s="43"/>
    </row>
    <row r="477">
      <c r="C477" s="42"/>
      <c r="G477" s="43"/>
    </row>
    <row r="478">
      <c r="C478" s="42"/>
      <c r="G478" s="43"/>
    </row>
    <row r="479">
      <c r="C479" s="42"/>
      <c r="G479" s="43"/>
    </row>
    <row r="480">
      <c r="C480" s="42"/>
      <c r="G480" s="43"/>
    </row>
    <row r="481">
      <c r="C481" s="42"/>
      <c r="G481" s="43"/>
    </row>
    <row r="482">
      <c r="C482" s="42"/>
      <c r="G482" s="43"/>
    </row>
    <row r="483">
      <c r="C483" s="42"/>
      <c r="G483" s="43"/>
    </row>
    <row r="484">
      <c r="C484" s="42"/>
      <c r="G484" s="43"/>
    </row>
    <row r="485">
      <c r="C485" s="42"/>
      <c r="G485" s="43"/>
    </row>
    <row r="486">
      <c r="C486" s="42"/>
      <c r="G486" s="43"/>
    </row>
    <row r="487">
      <c r="C487" s="42"/>
      <c r="G487" s="43"/>
    </row>
    <row r="488">
      <c r="C488" s="42"/>
      <c r="G488" s="43"/>
    </row>
    <row r="489">
      <c r="C489" s="42"/>
      <c r="G489" s="43"/>
    </row>
    <row r="490">
      <c r="C490" s="42"/>
      <c r="G490" s="43"/>
    </row>
    <row r="491">
      <c r="C491" s="42"/>
      <c r="G491" s="43"/>
    </row>
    <row r="492">
      <c r="C492" s="42"/>
      <c r="G492" s="43"/>
    </row>
    <row r="493">
      <c r="C493" s="42"/>
      <c r="G493" s="43"/>
    </row>
    <row r="494">
      <c r="C494" s="42"/>
      <c r="G494" s="43"/>
    </row>
    <row r="495">
      <c r="C495" s="42"/>
      <c r="G495" s="43"/>
    </row>
    <row r="496">
      <c r="C496" s="42"/>
      <c r="G496" s="43"/>
    </row>
    <row r="497">
      <c r="C497" s="42"/>
      <c r="G497" s="43"/>
    </row>
    <row r="498">
      <c r="C498" s="42"/>
      <c r="G498" s="43"/>
    </row>
    <row r="499">
      <c r="C499" s="42"/>
      <c r="G499" s="43"/>
    </row>
    <row r="500">
      <c r="C500" s="42"/>
      <c r="G500" s="43"/>
    </row>
    <row r="501">
      <c r="C501" s="42"/>
      <c r="G501" s="43"/>
    </row>
    <row r="502">
      <c r="C502" s="42"/>
      <c r="G502" s="43"/>
    </row>
    <row r="503">
      <c r="C503" s="42"/>
      <c r="G503" s="43"/>
    </row>
    <row r="504">
      <c r="C504" s="42"/>
      <c r="G504" s="43"/>
    </row>
    <row r="505">
      <c r="C505" s="42"/>
      <c r="G505" s="43"/>
    </row>
    <row r="506">
      <c r="C506" s="42"/>
      <c r="G506" s="43"/>
    </row>
    <row r="507">
      <c r="C507" s="42"/>
      <c r="G507" s="43"/>
    </row>
    <row r="508">
      <c r="C508" s="42"/>
      <c r="G508" s="43"/>
    </row>
    <row r="509">
      <c r="C509" s="42"/>
      <c r="G509" s="43"/>
    </row>
    <row r="510">
      <c r="C510" s="42"/>
      <c r="G510" s="43"/>
    </row>
    <row r="511">
      <c r="C511" s="42"/>
      <c r="G511" s="43"/>
    </row>
    <row r="512">
      <c r="C512" s="42"/>
      <c r="G512" s="43"/>
    </row>
    <row r="513">
      <c r="C513" s="42"/>
      <c r="G513" s="43"/>
    </row>
    <row r="514">
      <c r="C514" s="42"/>
      <c r="G514" s="43"/>
    </row>
    <row r="515">
      <c r="C515" s="42"/>
      <c r="G515" s="43"/>
    </row>
    <row r="516">
      <c r="C516" s="42"/>
      <c r="G516" s="43"/>
    </row>
    <row r="517">
      <c r="C517" s="42"/>
      <c r="G517" s="43"/>
    </row>
    <row r="518">
      <c r="C518" s="42"/>
      <c r="G518" s="43"/>
    </row>
    <row r="519">
      <c r="C519" s="42"/>
      <c r="G519" s="43"/>
    </row>
    <row r="520">
      <c r="C520" s="42"/>
      <c r="G520" s="43"/>
    </row>
    <row r="521">
      <c r="C521" s="42"/>
      <c r="G521" s="43"/>
    </row>
    <row r="522">
      <c r="C522" s="42"/>
      <c r="G522" s="43"/>
    </row>
    <row r="523">
      <c r="C523" s="42"/>
      <c r="G523" s="43"/>
    </row>
    <row r="524">
      <c r="C524" s="42"/>
      <c r="G524" s="43"/>
    </row>
    <row r="525">
      <c r="C525" s="42"/>
      <c r="G525" s="43"/>
    </row>
    <row r="526">
      <c r="C526" s="42"/>
      <c r="G526" s="43"/>
    </row>
    <row r="527">
      <c r="C527" s="42"/>
      <c r="G527" s="43"/>
    </row>
    <row r="528">
      <c r="C528" s="42"/>
      <c r="G528" s="43"/>
    </row>
    <row r="529">
      <c r="C529" s="42"/>
      <c r="G529" s="43"/>
    </row>
    <row r="530">
      <c r="C530" s="42"/>
      <c r="G530" s="43"/>
    </row>
    <row r="531">
      <c r="C531" s="42"/>
      <c r="G531" s="43"/>
    </row>
    <row r="532">
      <c r="C532" s="42"/>
      <c r="G532" s="43"/>
    </row>
    <row r="533">
      <c r="C533" s="42"/>
      <c r="G533" s="43"/>
    </row>
    <row r="534">
      <c r="C534" s="42"/>
      <c r="G534" s="43"/>
    </row>
    <row r="535">
      <c r="C535" s="42"/>
      <c r="G535" s="43"/>
    </row>
    <row r="536">
      <c r="C536" s="42"/>
      <c r="G536" s="43"/>
    </row>
    <row r="537">
      <c r="C537" s="42"/>
      <c r="G537" s="43"/>
    </row>
    <row r="538">
      <c r="C538" s="42"/>
      <c r="G538" s="43"/>
    </row>
    <row r="539">
      <c r="C539" s="42"/>
      <c r="G539" s="43"/>
    </row>
    <row r="540">
      <c r="C540" s="42"/>
      <c r="G540" s="43"/>
    </row>
    <row r="541">
      <c r="C541" s="42"/>
      <c r="G541" s="43"/>
    </row>
    <row r="542">
      <c r="C542" s="42"/>
      <c r="G542" s="43"/>
    </row>
    <row r="543">
      <c r="C543" s="42"/>
      <c r="G543" s="43"/>
    </row>
    <row r="544">
      <c r="C544" s="42"/>
      <c r="G544" s="43"/>
    </row>
    <row r="545">
      <c r="C545" s="42"/>
      <c r="G545" s="43"/>
    </row>
    <row r="546">
      <c r="C546" s="42"/>
      <c r="G546" s="43"/>
    </row>
    <row r="547">
      <c r="C547" s="42"/>
      <c r="G547" s="43"/>
    </row>
    <row r="548">
      <c r="C548" s="42"/>
      <c r="G548" s="43"/>
    </row>
    <row r="549">
      <c r="C549" s="42"/>
      <c r="G549" s="43"/>
    </row>
    <row r="550">
      <c r="C550" s="42"/>
      <c r="G550" s="43"/>
    </row>
    <row r="551">
      <c r="C551" s="42"/>
      <c r="G551" s="43"/>
    </row>
    <row r="552">
      <c r="C552" s="42"/>
      <c r="G552" s="43"/>
    </row>
    <row r="553">
      <c r="C553" s="42"/>
      <c r="G553" s="43"/>
    </row>
    <row r="554">
      <c r="C554" s="42"/>
      <c r="G554" s="43"/>
    </row>
    <row r="555">
      <c r="C555" s="42"/>
      <c r="G555" s="43"/>
    </row>
    <row r="556">
      <c r="C556" s="42"/>
      <c r="G556" s="43"/>
    </row>
    <row r="557">
      <c r="C557" s="42"/>
      <c r="G557" s="43"/>
    </row>
    <row r="558">
      <c r="C558" s="42"/>
      <c r="G558" s="43"/>
    </row>
    <row r="559">
      <c r="C559" s="42"/>
      <c r="G559" s="43"/>
    </row>
    <row r="560">
      <c r="C560" s="42"/>
      <c r="G560" s="43"/>
    </row>
    <row r="561">
      <c r="C561" s="42"/>
      <c r="G561" s="43"/>
    </row>
    <row r="562">
      <c r="C562" s="42"/>
      <c r="G562" s="43"/>
    </row>
    <row r="563">
      <c r="C563" s="42"/>
      <c r="G563" s="43"/>
    </row>
    <row r="564">
      <c r="C564" s="42"/>
      <c r="G564" s="43"/>
    </row>
    <row r="565">
      <c r="C565" s="42"/>
      <c r="G565" s="43"/>
    </row>
    <row r="566">
      <c r="C566" s="42"/>
      <c r="G566" s="43"/>
    </row>
    <row r="567">
      <c r="C567" s="42"/>
      <c r="G567" s="43"/>
    </row>
    <row r="568">
      <c r="C568" s="42"/>
      <c r="G568" s="43"/>
    </row>
    <row r="569">
      <c r="C569" s="42"/>
      <c r="G569" s="43"/>
    </row>
    <row r="570">
      <c r="C570" s="42"/>
      <c r="G570" s="43"/>
    </row>
    <row r="571">
      <c r="C571" s="42"/>
      <c r="G571" s="43"/>
    </row>
    <row r="572">
      <c r="C572" s="42"/>
      <c r="G572" s="43"/>
    </row>
    <row r="573">
      <c r="C573" s="42"/>
      <c r="G573" s="43"/>
    </row>
    <row r="574">
      <c r="C574" s="42"/>
      <c r="G574" s="43"/>
    </row>
    <row r="575">
      <c r="C575" s="42"/>
      <c r="G575" s="43"/>
    </row>
    <row r="576">
      <c r="C576" s="42"/>
      <c r="G576" s="43"/>
    </row>
    <row r="577">
      <c r="C577" s="42"/>
      <c r="G577" s="43"/>
    </row>
    <row r="578">
      <c r="C578" s="42"/>
      <c r="G578" s="43"/>
    </row>
    <row r="579">
      <c r="C579" s="42"/>
      <c r="G579" s="43"/>
    </row>
    <row r="580">
      <c r="C580" s="42"/>
      <c r="G580" s="43"/>
    </row>
    <row r="581">
      <c r="C581" s="42"/>
      <c r="G581" s="43"/>
    </row>
    <row r="582">
      <c r="C582" s="42"/>
      <c r="G582" s="43"/>
    </row>
    <row r="583">
      <c r="C583" s="42"/>
      <c r="G583" s="43"/>
    </row>
    <row r="584">
      <c r="C584" s="42"/>
      <c r="G584" s="43"/>
    </row>
    <row r="585">
      <c r="C585" s="42"/>
      <c r="G585" s="43"/>
    </row>
    <row r="586">
      <c r="C586" s="42"/>
      <c r="G586" s="43"/>
    </row>
    <row r="587">
      <c r="C587" s="42"/>
      <c r="G587" s="43"/>
    </row>
    <row r="588">
      <c r="C588" s="42"/>
      <c r="G588" s="43"/>
    </row>
    <row r="589">
      <c r="C589" s="42"/>
      <c r="G589" s="43"/>
    </row>
    <row r="590">
      <c r="C590" s="42"/>
      <c r="G590" s="43"/>
    </row>
    <row r="591">
      <c r="C591" s="42"/>
      <c r="G591" s="43"/>
    </row>
    <row r="592">
      <c r="C592" s="42"/>
      <c r="G592" s="43"/>
    </row>
    <row r="593">
      <c r="C593" s="42"/>
      <c r="G593" s="43"/>
    </row>
    <row r="594">
      <c r="C594" s="42"/>
      <c r="G594" s="43"/>
    </row>
    <row r="595">
      <c r="C595" s="42"/>
      <c r="G595" s="43"/>
    </row>
    <row r="596">
      <c r="C596" s="42"/>
      <c r="G596" s="43"/>
    </row>
    <row r="597">
      <c r="C597" s="42"/>
      <c r="G597" s="43"/>
    </row>
    <row r="598">
      <c r="C598" s="42"/>
      <c r="G598" s="43"/>
    </row>
    <row r="599">
      <c r="C599" s="42"/>
      <c r="G599" s="43"/>
    </row>
    <row r="600">
      <c r="C600" s="42"/>
      <c r="G600" s="43"/>
    </row>
    <row r="601">
      <c r="C601" s="42"/>
      <c r="G601" s="43"/>
    </row>
    <row r="602">
      <c r="C602" s="42"/>
      <c r="G602" s="43"/>
    </row>
    <row r="603">
      <c r="C603" s="42"/>
      <c r="G603" s="43"/>
    </row>
    <row r="604">
      <c r="C604" s="42"/>
      <c r="G604" s="43"/>
    </row>
    <row r="605">
      <c r="C605" s="42"/>
      <c r="G605" s="43"/>
    </row>
    <row r="606">
      <c r="C606" s="42"/>
      <c r="G606" s="43"/>
    </row>
    <row r="607">
      <c r="C607" s="42"/>
      <c r="G607" s="43"/>
    </row>
    <row r="608">
      <c r="C608" s="42"/>
      <c r="G608" s="43"/>
    </row>
    <row r="609">
      <c r="C609" s="42"/>
      <c r="G609" s="43"/>
    </row>
    <row r="610">
      <c r="C610" s="42"/>
      <c r="G610" s="43"/>
    </row>
    <row r="611">
      <c r="C611" s="42"/>
      <c r="G611" s="43"/>
    </row>
    <row r="612">
      <c r="C612" s="42"/>
      <c r="G612" s="43"/>
    </row>
    <row r="613">
      <c r="C613" s="42"/>
      <c r="G613" s="43"/>
    </row>
    <row r="614">
      <c r="C614" s="42"/>
      <c r="G614" s="43"/>
    </row>
    <row r="615">
      <c r="C615" s="42"/>
      <c r="G615" s="43"/>
    </row>
    <row r="616">
      <c r="C616" s="42"/>
      <c r="G616" s="43"/>
    </row>
    <row r="617">
      <c r="C617" s="42"/>
      <c r="G617" s="43"/>
    </row>
    <row r="618">
      <c r="C618" s="42"/>
      <c r="G618" s="43"/>
    </row>
    <row r="619">
      <c r="C619" s="42"/>
      <c r="G619" s="43"/>
    </row>
    <row r="620">
      <c r="C620" s="42"/>
      <c r="G620" s="43"/>
    </row>
    <row r="621">
      <c r="C621" s="42"/>
      <c r="G621" s="43"/>
    </row>
    <row r="622">
      <c r="C622" s="42"/>
      <c r="G622" s="43"/>
    </row>
    <row r="623">
      <c r="C623" s="42"/>
      <c r="G623" s="43"/>
    </row>
    <row r="624">
      <c r="C624" s="42"/>
      <c r="G624" s="43"/>
    </row>
    <row r="625">
      <c r="C625" s="42"/>
      <c r="G625" s="43"/>
    </row>
    <row r="626">
      <c r="C626" s="42"/>
      <c r="G626" s="43"/>
    </row>
    <row r="627">
      <c r="C627" s="42"/>
      <c r="G627" s="43"/>
    </row>
    <row r="628">
      <c r="C628" s="42"/>
      <c r="G628" s="43"/>
    </row>
    <row r="629">
      <c r="C629" s="42"/>
      <c r="G629" s="43"/>
    </row>
    <row r="630">
      <c r="C630" s="42"/>
      <c r="G630" s="43"/>
    </row>
    <row r="631">
      <c r="C631" s="42"/>
      <c r="G631" s="43"/>
    </row>
    <row r="632">
      <c r="C632" s="42"/>
      <c r="G632" s="43"/>
    </row>
    <row r="633">
      <c r="C633" s="42"/>
      <c r="G633" s="43"/>
    </row>
    <row r="634">
      <c r="C634" s="42"/>
      <c r="G634" s="43"/>
    </row>
    <row r="635">
      <c r="C635" s="42"/>
      <c r="G635" s="43"/>
    </row>
    <row r="636">
      <c r="C636" s="42"/>
      <c r="G636" s="43"/>
    </row>
    <row r="637">
      <c r="C637" s="42"/>
      <c r="G637" s="43"/>
    </row>
    <row r="638">
      <c r="C638" s="42"/>
      <c r="G638" s="43"/>
    </row>
    <row r="639">
      <c r="C639" s="42"/>
      <c r="G639" s="43"/>
    </row>
    <row r="640">
      <c r="C640" s="42"/>
      <c r="G640" s="43"/>
    </row>
    <row r="641">
      <c r="C641" s="42"/>
      <c r="G641" s="43"/>
    </row>
    <row r="642">
      <c r="C642" s="42"/>
      <c r="G642" s="43"/>
    </row>
    <row r="643">
      <c r="C643" s="42"/>
      <c r="G643" s="43"/>
    </row>
    <row r="644">
      <c r="C644" s="42"/>
      <c r="G644" s="43"/>
    </row>
    <row r="645">
      <c r="C645" s="42"/>
      <c r="G645" s="43"/>
    </row>
    <row r="646">
      <c r="C646" s="42"/>
      <c r="G646" s="43"/>
    </row>
    <row r="647">
      <c r="C647" s="42"/>
      <c r="G647" s="43"/>
    </row>
    <row r="648">
      <c r="C648" s="42"/>
      <c r="G648" s="43"/>
    </row>
    <row r="649">
      <c r="C649" s="42"/>
      <c r="G649" s="43"/>
    </row>
    <row r="650">
      <c r="C650" s="42"/>
      <c r="G650" s="43"/>
    </row>
    <row r="651">
      <c r="C651" s="42"/>
      <c r="G651" s="43"/>
    </row>
    <row r="652">
      <c r="C652" s="42"/>
      <c r="G652" s="43"/>
    </row>
    <row r="653">
      <c r="C653" s="42"/>
      <c r="G653" s="43"/>
    </row>
    <row r="654">
      <c r="C654" s="42"/>
      <c r="G654" s="43"/>
    </row>
    <row r="655">
      <c r="C655" s="42"/>
      <c r="G655" s="43"/>
    </row>
    <row r="656">
      <c r="C656" s="42"/>
      <c r="G656" s="43"/>
    </row>
    <row r="657">
      <c r="C657" s="42"/>
      <c r="G657" s="43"/>
    </row>
    <row r="658">
      <c r="C658" s="42"/>
      <c r="G658" s="43"/>
    </row>
    <row r="659">
      <c r="C659" s="42"/>
      <c r="G659" s="43"/>
    </row>
    <row r="660">
      <c r="C660" s="42"/>
      <c r="G660" s="43"/>
    </row>
    <row r="661">
      <c r="C661" s="42"/>
      <c r="G661" s="43"/>
    </row>
    <row r="662">
      <c r="C662" s="42"/>
      <c r="G662" s="43"/>
    </row>
    <row r="663">
      <c r="C663" s="42"/>
      <c r="G663" s="43"/>
    </row>
    <row r="664">
      <c r="C664" s="42"/>
      <c r="G664" s="43"/>
    </row>
    <row r="665">
      <c r="C665" s="42"/>
      <c r="G665" s="43"/>
    </row>
    <row r="666">
      <c r="C666" s="42"/>
      <c r="G666" s="43"/>
    </row>
    <row r="667">
      <c r="C667" s="42"/>
      <c r="G667" s="43"/>
    </row>
    <row r="668">
      <c r="C668" s="42"/>
      <c r="G668" s="43"/>
    </row>
    <row r="669">
      <c r="C669" s="42"/>
      <c r="G669" s="43"/>
    </row>
    <row r="670">
      <c r="C670" s="42"/>
      <c r="G670" s="43"/>
    </row>
    <row r="671">
      <c r="C671" s="42"/>
      <c r="G671" s="43"/>
    </row>
    <row r="672">
      <c r="C672" s="42"/>
      <c r="G672" s="43"/>
    </row>
    <row r="673">
      <c r="C673" s="42"/>
      <c r="G673" s="43"/>
    </row>
    <row r="674">
      <c r="C674" s="42"/>
      <c r="G674" s="43"/>
    </row>
    <row r="675">
      <c r="C675" s="42"/>
      <c r="G675" s="43"/>
    </row>
    <row r="676">
      <c r="C676" s="42"/>
      <c r="G676" s="43"/>
    </row>
    <row r="677">
      <c r="C677" s="42"/>
      <c r="G677" s="43"/>
    </row>
    <row r="678">
      <c r="C678" s="42"/>
      <c r="G678" s="43"/>
    </row>
    <row r="679">
      <c r="C679" s="42"/>
      <c r="G679" s="43"/>
    </row>
    <row r="680">
      <c r="C680" s="42"/>
      <c r="G680" s="43"/>
    </row>
    <row r="681">
      <c r="C681" s="42"/>
      <c r="G681" s="43"/>
    </row>
    <row r="682">
      <c r="C682" s="42"/>
      <c r="G682" s="43"/>
    </row>
    <row r="683">
      <c r="C683" s="42"/>
      <c r="G683" s="43"/>
    </row>
    <row r="684">
      <c r="C684" s="42"/>
      <c r="G684" s="43"/>
    </row>
    <row r="685">
      <c r="C685" s="42"/>
      <c r="G685" s="43"/>
    </row>
    <row r="686">
      <c r="C686" s="42"/>
      <c r="G686" s="43"/>
    </row>
    <row r="687">
      <c r="C687" s="42"/>
      <c r="G687" s="43"/>
    </row>
    <row r="688">
      <c r="C688" s="42"/>
      <c r="G688" s="43"/>
    </row>
    <row r="689">
      <c r="C689" s="42"/>
      <c r="G689" s="43"/>
    </row>
    <row r="690">
      <c r="C690" s="42"/>
      <c r="G690" s="43"/>
    </row>
    <row r="691">
      <c r="C691" s="42"/>
      <c r="G691" s="43"/>
    </row>
    <row r="692">
      <c r="C692" s="42"/>
      <c r="G692" s="43"/>
    </row>
    <row r="693">
      <c r="C693" s="42"/>
      <c r="G693" s="43"/>
    </row>
    <row r="694">
      <c r="C694" s="42"/>
      <c r="G694" s="43"/>
    </row>
    <row r="695">
      <c r="C695" s="42"/>
      <c r="G695" s="43"/>
    </row>
    <row r="696">
      <c r="C696" s="42"/>
      <c r="G696" s="43"/>
    </row>
    <row r="697">
      <c r="C697" s="42"/>
      <c r="G697" s="43"/>
    </row>
    <row r="698">
      <c r="C698" s="42"/>
      <c r="G698" s="43"/>
    </row>
    <row r="699">
      <c r="C699" s="42"/>
      <c r="G699" s="43"/>
    </row>
    <row r="700">
      <c r="C700" s="42"/>
      <c r="G700" s="43"/>
    </row>
    <row r="701">
      <c r="C701" s="42"/>
      <c r="G701" s="43"/>
    </row>
    <row r="702">
      <c r="C702" s="42"/>
      <c r="G702" s="43"/>
    </row>
    <row r="703">
      <c r="C703" s="42"/>
      <c r="G703" s="43"/>
    </row>
    <row r="704">
      <c r="C704" s="42"/>
      <c r="G704" s="43"/>
    </row>
    <row r="705">
      <c r="C705" s="42"/>
      <c r="G705" s="43"/>
    </row>
    <row r="706">
      <c r="C706" s="42"/>
      <c r="G706" s="43"/>
    </row>
    <row r="707">
      <c r="C707" s="42"/>
      <c r="G707" s="43"/>
    </row>
    <row r="708">
      <c r="C708" s="42"/>
      <c r="G708" s="43"/>
    </row>
    <row r="709">
      <c r="C709" s="42"/>
      <c r="G709" s="43"/>
    </row>
    <row r="710">
      <c r="C710" s="42"/>
      <c r="G710" s="43"/>
    </row>
    <row r="711">
      <c r="C711" s="42"/>
      <c r="G711" s="43"/>
    </row>
    <row r="712">
      <c r="C712" s="42"/>
      <c r="G712" s="43"/>
    </row>
    <row r="713">
      <c r="C713" s="42"/>
      <c r="G713" s="43"/>
    </row>
    <row r="714">
      <c r="C714" s="42"/>
      <c r="G714" s="43"/>
    </row>
    <row r="715">
      <c r="C715" s="42"/>
      <c r="G715" s="43"/>
    </row>
    <row r="716">
      <c r="C716" s="42"/>
      <c r="G716" s="43"/>
    </row>
    <row r="717">
      <c r="C717" s="42"/>
      <c r="G717" s="43"/>
    </row>
    <row r="718">
      <c r="C718" s="42"/>
      <c r="G718" s="43"/>
    </row>
    <row r="719">
      <c r="C719" s="42"/>
      <c r="G719" s="43"/>
    </row>
    <row r="720">
      <c r="C720" s="42"/>
      <c r="G720" s="43"/>
    </row>
    <row r="721">
      <c r="C721" s="42"/>
      <c r="G721" s="43"/>
    </row>
    <row r="722">
      <c r="C722" s="42"/>
      <c r="G722" s="43"/>
    </row>
    <row r="723">
      <c r="C723" s="42"/>
      <c r="G723" s="43"/>
    </row>
    <row r="724">
      <c r="C724" s="42"/>
      <c r="G724" s="43"/>
    </row>
    <row r="725">
      <c r="C725" s="42"/>
      <c r="G725" s="43"/>
    </row>
    <row r="726">
      <c r="C726" s="42"/>
      <c r="G726" s="43"/>
    </row>
    <row r="727">
      <c r="C727" s="42"/>
      <c r="G727" s="43"/>
    </row>
    <row r="728">
      <c r="C728" s="42"/>
      <c r="G728" s="43"/>
    </row>
    <row r="729">
      <c r="C729" s="42"/>
      <c r="G729" s="43"/>
    </row>
    <row r="730">
      <c r="C730" s="42"/>
      <c r="G730" s="43"/>
    </row>
    <row r="731">
      <c r="C731" s="42"/>
      <c r="G731" s="43"/>
    </row>
    <row r="732">
      <c r="C732" s="42"/>
      <c r="G732" s="43"/>
    </row>
    <row r="733">
      <c r="C733" s="42"/>
      <c r="G733" s="43"/>
    </row>
    <row r="734">
      <c r="C734" s="42"/>
      <c r="G734" s="43"/>
    </row>
    <row r="735">
      <c r="C735" s="42"/>
      <c r="G735" s="43"/>
    </row>
    <row r="736">
      <c r="C736" s="42"/>
      <c r="G736" s="43"/>
    </row>
    <row r="737">
      <c r="C737" s="42"/>
      <c r="G737" s="43"/>
    </row>
    <row r="738">
      <c r="C738" s="42"/>
      <c r="G738" s="43"/>
    </row>
    <row r="739">
      <c r="C739" s="42"/>
      <c r="G739" s="43"/>
    </row>
    <row r="740">
      <c r="C740" s="42"/>
      <c r="G740" s="43"/>
    </row>
    <row r="741">
      <c r="C741" s="42"/>
      <c r="G741" s="43"/>
    </row>
    <row r="742">
      <c r="C742" s="42"/>
      <c r="G742" s="43"/>
    </row>
    <row r="743">
      <c r="C743" s="42"/>
      <c r="G743" s="43"/>
    </row>
    <row r="744">
      <c r="C744" s="42"/>
      <c r="G744" s="43"/>
    </row>
    <row r="745">
      <c r="C745" s="42"/>
      <c r="G745" s="43"/>
    </row>
    <row r="746">
      <c r="C746" s="42"/>
      <c r="G746" s="43"/>
    </row>
    <row r="747">
      <c r="C747" s="42"/>
      <c r="G747" s="43"/>
    </row>
    <row r="748">
      <c r="C748" s="42"/>
      <c r="G748" s="43"/>
    </row>
    <row r="749">
      <c r="C749" s="42"/>
      <c r="G749" s="43"/>
    </row>
    <row r="750">
      <c r="C750" s="42"/>
      <c r="G750" s="43"/>
    </row>
    <row r="751">
      <c r="C751" s="42"/>
      <c r="G751" s="43"/>
    </row>
    <row r="752">
      <c r="C752" s="42"/>
      <c r="G752" s="43"/>
    </row>
    <row r="753">
      <c r="C753" s="42"/>
      <c r="G753" s="43"/>
    </row>
    <row r="754">
      <c r="C754" s="42"/>
      <c r="G754" s="43"/>
    </row>
    <row r="755">
      <c r="C755" s="42"/>
      <c r="G755" s="43"/>
    </row>
    <row r="756">
      <c r="C756" s="42"/>
      <c r="G756" s="43"/>
    </row>
    <row r="757">
      <c r="C757" s="42"/>
      <c r="G757" s="43"/>
    </row>
    <row r="758">
      <c r="C758" s="42"/>
      <c r="G758" s="43"/>
    </row>
    <row r="759">
      <c r="C759" s="42"/>
      <c r="G759" s="43"/>
    </row>
    <row r="760">
      <c r="C760" s="42"/>
      <c r="G760" s="43"/>
    </row>
    <row r="761">
      <c r="C761" s="42"/>
      <c r="G761" s="43"/>
    </row>
    <row r="762">
      <c r="C762" s="42"/>
      <c r="G762" s="43"/>
    </row>
    <row r="763">
      <c r="C763" s="42"/>
      <c r="G763" s="43"/>
    </row>
    <row r="764">
      <c r="C764" s="42"/>
      <c r="G764" s="43"/>
    </row>
    <row r="765">
      <c r="C765" s="42"/>
      <c r="G765" s="43"/>
    </row>
    <row r="766">
      <c r="C766" s="42"/>
      <c r="G766" s="43"/>
    </row>
    <row r="767">
      <c r="C767" s="42"/>
      <c r="G767" s="43"/>
    </row>
    <row r="768">
      <c r="C768" s="42"/>
      <c r="G768" s="43"/>
    </row>
    <row r="769">
      <c r="C769" s="42"/>
      <c r="G769" s="43"/>
    </row>
    <row r="770">
      <c r="C770" s="42"/>
      <c r="G770" s="43"/>
    </row>
    <row r="771">
      <c r="C771" s="42"/>
      <c r="G771" s="43"/>
    </row>
    <row r="772">
      <c r="C772" s="42"/>
      <c r="G772" s="43"/>
    </row>
    <row r="773">
      <c r="C773" s="42"/>
      <c r="G773" s="43"/>
    </row>
    <row r="774">
      <c r="C774" s="42"/>
      <c r="G774" s="43"/>
    </row>
    <row r="775">
      <c r="C775" s="42"/>
      <c r="G775" s="43"/>
    </row>
    <row r="776">
      <c r="C776" s="42"/>
      <c r="G776" s="43"/>
    </row>
    <row r="777">
      <c r="C777" s="42"/>
      <c r="G777" s="43"/>
    </row>
    <row r="778">
      <c r="C778" s="42"/>
      <c r="G778" s="43"/>
    </row>
    <row r="779">
      <c r="C779" s="42"/>
      <c r="G779" s="43"/>
    </row>
    <row r="780">
      <c r="C780" s="42"/>
      <c r="G780" s="43"/>
    </row>
    <row r="781">
      <c r="C781" s="42"/>
      <c r="G781" s="43"/>
    </row>
    <row r="782">
      <c r="C782" s="42"/>
      <c r="G782" s="43"/>
    </row>
    <row r="783">
      <c r="C783" s="42"/>
      <c r="G783" s="43"/>
    </row>
    <row r="784">
      <c r="C784" s="42"/>
      <c r="G784" s="43"/>
    </row>
    <row r="785">
      <c r="C785" s="42"/>
      <c r="G785" s="43"/>
    </row>
    <row r="786">
      <c r="C786" s="42"/>
      <c r="G786" s="43"/>
    </row>
    <row r="787">
      <c r="C787" s="42"/>
      <c r="G787" s="43"/>
    </row>
    <row r="788">
      <c r="C788" s="42"/>
      <c r="G788" s="43"/>
    </row>
    <row r="789">
      <c r="C789" s="42"/>
      <c r="G789" s="43"/>
    </row>
    <row r="790">
      <c r="C790" s="42"/>
      <c r="G790" s="43"/>
    </row>
    <row r="791">
      <c r="C791" s="42"/>
      <c r="G791" s="43"/>
    </row>
    <row r="792">
      <c r="C792" s="42"/>
      <c r="G792" s="43"/>
    </row>
    <row r="793">
      <c r="C793" s="42"/>
      <c r="G793" s="43"/>
    </row>
    <row r="794">
      <c r="C794" s="42"/>
      <c r="G794" s="43"/>
    </row>
    <row r="795">
      <c r="C795" s="42"/>
      <c r="G795" s="43"/>
    </row>
    <row r="796">
      <c r="C796" s="42"/>
      <c r="G796" s="43"/>
    </row>
    <row r="797">
      <c r="C797" s="42"/>
      <c r="G797" s="43"/>
    </row>
    <row r="798">
      <c r="C798" s="42"/>
      <c r="G798" s="43"/>
    </row>
    <row r="799">
      <c r="C799" s="42"/>
      <c r="G799" s="43"/>
    </row>
    <row r="800">
      <c r="C800" s="42"/>
      <c r="G800" s="43"/>
    </row>
  </sheetData>
  <mergeCells count="7">
    <mergeCell ref="A2:G5"/>
    <mergeCell ref="A6:G8"/>
    <mergeCell ref="A39:G41"/>
    <mergeCell ref="A64:G66"/>
    <mergeCell ref="H64:M66"/>
    <mergeCell ref="N64:S66"/>
    <mergeCell ref="T64:Y66"/>
  </mergeCells>
  <drawing r:id="rId1"/>
</worksheet>
</file>